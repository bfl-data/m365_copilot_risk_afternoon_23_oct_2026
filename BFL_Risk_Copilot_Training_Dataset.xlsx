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an Portfolio Risk Register" sheetId="2" state="visible" r:id="rId4"/>
    <sheet name="Fraud Transaction Alerts" sheetId="3" state="visible" r:id="rId5"/>
    <sheet name="Risk Indicator Dashboard" sheetId="4" state="visible" r:id="rId6"/>
    <sheet name="Policy Compliance Tracker" sheetId="5" state="visible" r:id="rId7"/>
    <sheet name="Portfolio Monitoring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<sst xmlns="http://schemas.openxmlformats.org/spreadsheetml/2006/main" count="588" uniqueCount="341">
  <si>
    <t xml:space="preserve">Bajaj Finance Limited — Risk Team</t>
  </si>
  <si>
    <t xml:space="preserve">M365 Copilot Training Programme | AI Academy — Risk</t>
  </si>
  <si>
    <t xml:space="preserve">Dataset Period: April – June 2026 (FY 2026-27, Q1)</t>
  </si>
  <si>
    <t xml:space="preserve">Sheet</t>
  </si>
  <si>
    <t xml:space="preserve">Use Case Supported</t>
  </si>
  <si>
    <t xml:space="preserve">What It Contains</t>
  </si>
  <si>
    <t xml:space="preserve">Loan Portfolio Risk Register</t>
  </si>
  <si>
    <t xml:space="preserve">Credit Portfolio Risk Analysis</t>
  </si>
  <si>
    <t xml:space="preserve">Loan-level portfolio data with risk grades, DPD, LTV, collateral cover and status, plus a summary block.</t>
  </si>
  <si>
    <t xml:space="preserve">Fraud Transaction Alerts</t>
  </si>
  <si>
    <t xml:space="preserve">Fraud Pattern Identification</t>
  </si>
  <si>
    <t xml:space="preserve">Transaction-level alerts with velocity, geo-mismatch and anomaly flags for suspicious pattern review.</t>
  </si>
  <si>
    <t xml:space="preserve">Risk Indicator Dashboard</t>
  </si>
  <si>
    <t xml:space="preserve">Risk Reporting</t>
  </si>
  <si>
    <t xml:space="preserve">Monthly portfolio risk indicators (GNPA, NNPA, PAR buckets, PCR, credit cost) for management review.</t>
  </si>
  <si>
    <t xml:space="preserve">Policy Compliance Tracker</t>
  </si>
  <si>
    <t xml:space="preserve">Policy and Compliance Review</t>
  </si>
  <si>
    <t xml:space="preserve">Internal risk policies mapped to regulatory requirements, review status and compliance gaps.</t>
  </si>
  <si>
    <t xml:space="preserve">Portfolio Monitoring Trend</t>
  </si>
  <si>
    <t xml:space="preserve">Risk Monitoring</t>
  </si>
  <si>
    <t xml:space="preserve">Month-on-month AUM, collection efficiency, delinquency trend and early warning signals by business unit.</t>
  </si>
  <si>
    <t xml:space="preserve">How to use this workbook</t>
  </si>
  <si>
    <t xml:space="preserve">1. Each sheet maps to one Risk use case from the training session.</t>
  </si>
  <si>
    <t xml:space="preserve">2. Attach the relevant sheet in M365 Copilot Chat using '/' and run the working prompt generated by the Meta Prompt.</t>
  </si>
  <si>
    <t xml:space="preserve">3. All customer, loan and transaction data is fictional and created only for training purposes.</t>
  </si>
  <si>
    <t xml:space="preserve">4. Amounts are in INR (Rs). Loan and outstanding amounts are in absolute rupees unless stated as Rs Cr / Rs Lakh.</t>
  </si>
  <si>
    <t xml:space="preserve">Loan ID</t>
  </si>
  <si>
    <t xml:space="preserve">Product</t>
  </si>
  <si>
    <t xml:space="preserve">Business Unit</t>
  </si>
  <si>
    <t xml:space="preserve">Region</t>
  </si>
  <si>
    <t xml:space="preserve">Sanction Date</t>
  </si>
  <si>
    <t xml:space="preserve">Disbursed Amount (Rs)</t>
  </si>
  <si>
    <t xml:space="preserve">Outstanding Amount (Rs)</t>
  </si>
  <si>
    <t xml:space="preserve">Tenure (Months)</t>
  </si>
  <si>
    <t xml:space="preserve">Interest Rate (%)</t>
  </si>
  <si>
    <t xml:space="preserve">DPD (Days)</t>
  </si>
  <si>
    <t xml:space="preserve">Risk Grade (A-E)</t>
  </si>
  <si>
    <t xml:space="preserve">Credit Score</t>
  </si>
  <si>
    <t xml:space="preserve">Collateral Coverage (%)</t>
  </si>
  <si>
    <t xml:space="preserve">LTV (%)</t>
  </si>
  <si>
    <t xml:space="preserve">Account Status</t>
  </si>
  <si>
    <t xml:space="preserve">BFL-LN-100231</t>
  </si>
  <si>
    <t xml:space="preserve">Business Loan</t>
  </si>
  <si>
    <t xml:space="preserve">MSME Lending</t>
  </si>
  <si>
    <t xml:space="preserve">Pune</t>
  </si>
  <si>
    <t xml:space="preserve">2024-11-12</t>
  </si>
  <si>
    <t xml:space="preserve">B</t>
  </si>
  <si>
    <t xml:space="preserve">Standard</t>
  </si>
  <si>
    <t xml:space="preserve">BFL-LN-100232</t>
  </si>
  <si>
    <t xml:space="preserve">Personal Loan</t>
  </si>
  <si>
    <t xml:space="preserve">Consumer Lending</t>
  </si>
  <si>
    <t xml:space="preserve">Mumbai</t>
  </si>
  <si>
    <t xml:space="preserve">2025-02-04</t>
  </si>
  <si>
    <t xml:space="preserve">BFL-LN-100233</t>
  </si>
  <si>
    <t xml:space="preserve">Home Loan</t>
  </si>
  <si>
    <t xml:space="preserve">Housing Finance</t>
  </si>
  <si>
    <t xml:space="preserve">Bengaluru</t>
  </si>
  <si>
    <t xml:space="preserve">2022-06-18</t>
  </si>
  <si>
    <t xml:space="preserve">A</t>
  </si>
  <si>
    <t xml:space="preserve">BFL-LN-100234</t>
  </si>
  <si>
    <t xml:space="preserve">Gold Loan</t>
  </si>
  <si>
    <t xml:space="preserve">Rural Lending</t>
  </si>
  <si>
    <t xml:space="preserve">Nagpur</t>
  </si>
  <si>
    <t xml:space="preserve">2025-12-01</t>
  </si>
  <si>
    <t xml:space="preserve">C</t>
  </si>
  <si>
    <t xml:space="preserve">SMA-1</t>
  </si>
  <si>
    <t xml:space="preserve">BFL-LN-100235</t>
  </si>
  <si>
    <t xml:space="preserve">Consumer Durable Loan</t>
  </si>
  <si>
    <t xml:space="preserve">Delhi NCR</t>
  </si>
  <si>
    <t xml:space="preserve">2025-09-22</t>
  </si>
  <si>
    <t xml:space="preserve">BFL-LN-100236</t>
  </si>
  <si>
    <t xml:space="preserve">Ahmedabad</t>
  </si>
  <si>
    <t xml:space="preserve">2023-03-14</t>
  </si>
  <si>
    <t xml:space="preserve">D</t>
  </si>
  <si>
    <t xml:space="preserve">SMA-2</t>
  </si>
  <si>
    <t xml:space="preserve">BFL-LN-100237</t>
  </si>
  <si>
    <t xml:space="preserve">Chennai</t>
  </si>
  <si>
    <t xml:space="preserve">2024-08-09</t>
  </si>
  <si>
    <t xml:space="preserve">BFL-LN-100238</t>
  </si>
  <si>
    <t xml:space="preserve">2021-01-27</t>
  </si>
  <si>
    <t xml:space="preserve">BFL-LN-100239</t>
  </si>
  <si>
    <t xml:space="preserve">Jaipur</t>
  </si>
  <si>
    <t xml:space="preserve">2024-05-30</t>
  </si>
  <si>
    <t xml:space="preserve">NPA</t>
  </si>
  <si>
    <t xml:space="preserve">BFL-LN-100240</t>
  </si>
  <si>
    <t xml:space="preserve">Lucknow</t>
  </si>
  <si>
    <t xml:space="preserve">2026-01-10</t>
  </si>
  <si>
    <t xml:space="preserve">BFL-LN-100241</t>
  </si>
  <si>
    <t xml:space="preserve">Hyderabad</t>
  </si>
  <si>
    <t xml:space="preserve">2025-04-17</t>
  </si>
  <si>
    <t xml:space="preserve">E</t>
  </si>
  <si>
    <t xml:space="preserve">BFL-LN-100242</t>
  </si>
  <si>
    <t xml:space="preserve">Kolkata</t>
  </si>
  <si>
    <t xml:space="preserve">2025-11-05</t>
  </si>
  <si>
    <t xml:space="preserve">BFL-LN-100243</t>
  </si>
  <si>
    <t xml:space="preserve">Surat</t>
  </si>
  <si>
    <t xml:space="preserve">2023-09-19</t>
  </si>
  <si>
    <t xml:space="preserve">SMA-0</t>
  </si>
  <si>
    <t xml:space="preserve">BFL-LN-100244</t>
  </si>
  <si>
    <t xml:space="preserve">Indore</t>
  </si>
  <si>
    <t xml:space="preserve">2022-12-02</t>
  </si>
  <si>
    <t xml:space="preserve">BFL-LN-100245</t>
  </si>
  <si>
    <t xml:space="preserve">Bhopal</t>
  </si>
  <si>
    <t xml:space="preserve">2025-10-28</t>
  </si>
  <si>
    <t xml:space="preserve">BFL-LN-100246</t>
  </si>
  <si>
    <t xml:space="preserve">2024-02-11</t>
  </si>
  <si>
    <t xml:space="preserve">BFL-LN-100247</t>
  </si>
  <si>
    <t xml:space="preserve">2023-07-08</t>
  </si>
  <si>
    <t xml:space="preserve">BFL-LN-100248</t>
  </si>
  <si>
    <t xml:space="preserve">2026-02-19</t>
  </si>
  <si>
    <t xml:space="preserve">BFL-LN-100249</t>
  </si>
  <si>
    <t xml:space="preserve">Chandigarh</t>
  </si>
  <si>
    <t xml:space="preserve">2021-08-23</t>
  </si>
  <si>
    <t xml:space="preserve">BFL-LN-100250</t>
  </si>
  <si>
    <t xml:space="preserve">2025-06-14</t>
  </si>
  <si>
    <t xml:space="preserve">Portfolio Summary</t>
  </si>
  <si>
    <t xml:space="preserve">Total Loans</t>
  </si>
  <si>
    <t xml:space="preserve">Total Outstanding (Rs)</t>
  </si>
  <si>
    <t xml:space="preserve">NPA Outstanding (Rs)</t>
  </si>
  <si>
    <t xml:space="preserve">Gross NPA (%)</t>
  </si>
  <si>
    <t xml:space="preserve">SMA (0/1/2) Outstanding (Rs)</t>
  </si>
  <si>
    <t xml:space="preserve">Loans with Risk Grade D or E</t>
  </si>
  <si>
    <t xml:space="preserve">Alert ID</t>
  </si>
  <si>
    <t xml:space="preserve">Customer ID</t>
  </si>
  <si>
    <t xml:space="preserve">Txn Date</t>
  </si>
  <si>
    <t xml:space="preserve">Txn Type</t>
  </si>
  <si>
    <t xml:space="preserve">Channel</t>
  </si>
  <si>
    <t xml:space="preserve">Amount (Rs)</t>
  </si>
  <si>
    <t xml:space="preserve">Location</t>
  </si>
  <si>
    <t xml:space="preserve">Device Change Flag</t>
  </si>
  <si>
    <t xml:space="preserve">Velocity Flag</t>
  </si>
  <si>
    <t xml:space="preserve">Geo-Mismatch Flag</t>
  </si>
  <si>
    <t xml:space="preserve">Anomaly Score (0-100)</t>
  </si>
  <si>
    <t xml:space="preserve">Alert Status</t>
  </si>
  <si>
    <t xml:space="preserve">Assigned Analyst</t>
  </si>
  <si>
    <t xml:space="preserve">FRD-5001</t>
  </si>
  <si>
    <t xml:space="preserve">CUST-88123</t>
  </si>
  <si>
    <t xml:space="preserve">2026-04-03</t>
  </si>
  <si>
    <t xml:space="preserve">Loan Disbursement Diversion</t>
  </si>
  <si>
    <t xml:space="preserve">Mobile App</t>
  </si>
  <si>
    <t xml:space="preserve">Y</t>
  </si>
  <si>
    <t xml:space="preserve">N</t>
  </si>
  <si>
    <t xml:space="preserve">Under Review</t>
  </si>
  <si>
    <t xml:space="preserve">A. Kulkarni</t>
  </si>
  <si>
    <t xml:space="preserve">FRD-5002</t>
  </si>
  <si>
    <t xml:space="preserve">CUST-88456</t>
  </si>
  <si>
    <t xml:space="preserve">2026-04-06</t>
  </si>
  <si>
    <t xml:space="preserve">EMI Auto-Debit Reversal</t>
  </si>
  <si>
    <t xml:space="preserve">Net Banking</t>
  </si>
  <si>
    <t xml:space="preserve">Closed - False Positive</t>
  </si>
  <si>
    <t xml:space="preserve">S. Rao</t>
  </si>
  <si>
    <t xml:space="preserve">FRD-5003</t>
  </si>
  <si>
    <t xml:space="preserve">CUST-88790</t>
  </si>
  <si>
    <t xml:space="preserve">2026-04-11</t>
  </si>
  <si>
    <t xml:space="preserve">Multiple Loan Applications</t>
  </si>
  <si>
    <t xml:space="preserve">Web Portal</t>
  </si>
  <si>
    <t xml:space="preserve">Escalated - Fraud</t>
  </si>
  <si>
    <t xml:space="preserve">FRD-5004</t>
  </si>
  <si>
    <t xml:space="preserve">CUST-89011</t>
  </si>
  <si>
    <t xml:space="preserve">2026-04-15</t>
  </si>
  <si>
    <t xml:space="preserve">Gold Loan Overvaluation</t>
  </si>
  <si>
    <t xml:space="preserve">Branch</t>
  </si>
  <si>
    <t xml:space="preserve">R. Menon</t>
  </si>
  <si>
    <t xml:space="preserve">FRD-5005</t>
  </si>
  <si>
    <t xml:space="preserve">CUST-89234</t>
  </si>
  <si>
    <t xml:space="preserve">2026-04-19</t>
  </si>
  <si>
    <t xml:space="preserve">Card Not Present Transaction</t>
  </si>
  <si>
    <t xml:space="preserve">POS/Online</t>
  </si>
  <si>
    <t xml:space="preserve">FRD-5006</t>
  </si>
  <si>
    <t xml:space="preserve">CUST-89456</t>
  </si>
  <si>
    <t xml:space="preserve">Identity Mismatch at KYC</t>
  </si>
  <si>
    <t xml:space="preserve">FRD-5007</t>
  </si>
  <si>
    <t xml:space="preserve">CUST-89678</t>
  </si>
  <si>
    <t xml:space="preserve">2026-05-06</t>
  </si>
  <si>
    <t xml:space="preserve">Unusual Disbursement Velocity</t>
  </si>
  <si>
    <t xml:space="preserve">FRD-5008</t>
  </si>
  <si>
    <t xml:space="preserve">CUST-89890</t>
  </si>
  <si>
    <t xml:space="preserve">2026-05-10</t>
  </si>
  <si>
    <t xml:space="preserve">EMI Bounce Followed by Prepay</t>
  </si>
  <si>
    <t xml:space="preserve">FRD-5009</t>
  </si>
  <si>
    <t xml:space="preserve">CUST-90012</t>
  </si>
  <si>
    <t xml:space="preserve">2026-05-14</t>
  </si>
  <si>
    <t xml:space="preserve">Synthetic Identity Suspected</t>
  </si>
  <si>
    <t xml:space="preserve">FRD-5010</t>
  </si>
  <si>
    <t xml:space="preserve">CUST-90234</t>
  </si>
  <si>
    <t xml:space="preserve">2026-05-18</t>
  </si>
  <si>
    <t xml:space="preserve">Collateral Document Forgery Suspected</t>
  </si>
  <si>
    <t xml:space="preserve">FRD-5011</t>
  </si>
  <si>
    <t xml:space="preserve">CUST-90456</t>
  </si>
  <si>
    <t xml:space="preserve">2026-05-23</t>
  </si>
  <si>
    <t xml:space="preserve">Rapid Multi-Channel Login</t>
  </si>
  <si>
    <t xml:space="preserve">FRD-5012</t>
  </si>
  <si>
    <t xml:space="preserve">CUST-90678</t>
  </si>
  <si>
    <t xml:space="preserve">2026-06-01</t>
  </si>
  <si>
    <t xml:space="preserve">Overdue Account New Loan Attempt</t>
  </si>
  <si>
    <t xml:space="preserve">FRD-5013</t>
  </si>
  <si>
    <t xml:space="preserve">CUST-90890</t>
  </si>
  <si>
    <t xml:space="preserve">2026-06-05</t>
  </si>
  <si>
    <t xml:space="preserve">Card Testing Pattern</t>
  </si>
  <si>
    <t xml:space="preserve">FRD-5014</t>
  </si>
  <si>
    <t xml:space="preserve">CUST-91012</t>
  </si>
  <si>
    <t xml:space="preserve">2026-06-09</t>
  </si>
  <si>
    <t xml:space="preserve">Geo-Mismatch on High Value Txn</t>
  </si>
  <si>
    <t xml:space="preserve">FRD-5015</t>
  </si>
  <si>
    <t xml:space="preserve">CUST-91234</t>
  </si>
  <si>
    <t xml:space="preserve">2026-06-13</t>
  </si>
  <si>
    <t xml:space="preserve">Round-Tripping Between Accounts</t>
  </si>
  <si>
    <t xml:space="preserve">FRD-5016</t>
  </si>
  <si>
    <t xml:space="preserve">CUST-91456</t>
  </si>
  <si>
    <t xml:space="preserve">2026-06-18</t>
  </si>
  <si>
    <t xml:space="preserve">Mule Account Suspected</t>
  </si>
  <si>
    <t xml:space="preserve">FRD-5017</t>
  </si>
  <si>
    <t xml:space="preserve">CUST-91678</t>
  </si>
  <si>
    <t xml:space="preserve">2026-06-22</t>
  </si>
  <si>
    <t xml:space="preserve">Employee-Assisted Fraud Suspected</t>
  </si>
  <si>
    <t xml:space="preserve">FRD-5018</t>
  </si>
  <si>
    <t xml:space="preserve">CUST-91890</t>
  </si>
  <si>
    <t xml:space="preserve">2026-06-27</t>
  </si>
  <si>
    <t xml:space="preserve">Device Cloning Alert</t>
  </si>
  <si>
    <t xml:space="preserve">Alert Summary</t>
  </si>
  <si>
    <t xml:space="preserve">Total Alerts</t>
  </si>
  <si>
    <t xml:space="preserve">Avg Anomaly Score (Escalated)</t>
  </si>
  <si>
    <t xml:space="preserve">Month</t>
  </si>
  <si>
    <t xml:space="preserve">Net NPA (%)</t>
  </si>
  <si>
    <t xml:space="preserve">PAR-30 (%)</t>
  </si>
  <si>
    <t xml:space="preserve">PAR-60 (%)</t>
  </si>
  <si>
    <t xml:space="preserve">PAR-90 (%)</t>
  </si>
  <si>
    <t xml:space="preserve">Fresh Slippage (Rs Cr)</t>
  </si>
  <si>
    <t xml:space="preserve">Restructured Book (Rs Cr)</t>
  </si>
  <si>
    <t xml:space="preserve">Provision Coverage Ratio (%)</t>
  </si>
  <si>
    <t xml:space="preserve">Credit Cost (%)</t>
  </si>
  <si>
    <t xml:space="preserve">Target GNPA (%)</t>
  </si>
  <si>
    <t xml:space="preserve">Commentary</t>
  </si>
  <si>
    <t xml:space="preserve">Apr-2026</t>
  </si>
  <si>
    <t xml:space="preserve">Slippage up on Ahmedabad SMA-2 pool; watchlist accounts flagged</t>
  </si>
  <si>
    <t xml:space="preserve">Stable; personal loan vintage curves within band</t>
  </si>
  <si>
    <t xml:space="preserve">No material stress; LTV profile healthy</t>
  </si>
  <si>
    <t xml:space="preserve">Gold loan auction backlog in Nagpur cluster being cleared</t>
  </si>
  <si>
    <t xml:space="preserve">May-2026</t>
  </si>
  <si>
    <t xml:space="preserve">Jaipur NPA account BFL-LN-100239 moved to recovery</t>
  </si>
  <si>
    <t xml:space="preserve">Marginal uptick, within tolerance</t>
  </si>
  <si>
    <t xml:space="preserve">Stable</t>
  </si>
  <si>
    <t xml:space="preserve">Continued pressure in gold loan segment; monitoring price volatility</t>
  </si>
  <si>
    <t xml:space="preserve">Jun-2026</t>
  </si>
  <si>
    <t xml:space="preserve">Two large exposures under recovery review - Surat, Jaipur clusters</t>
  </si>
  <si>
    <t xml:space="preserve">Personal loan DPD 12-45 bucket growing; early-stage collections stepped up</t>
  </si>
  <si>
    <t xml:space="preserve">Stable; one restructuring case under review</t>
  </si>
  <si>
    <t xml:space="preserve">Gold price correction increasing LTV breach risk; auctions in progress</t>
  </si>
  <si>
    <t xml:space="preserve">Policy ID</t>
  </si>
  <si>
    <t xml:space="preserve">Policy Name</t>
  </si>
  <si>
    <t xml:space="preserve">Regulatory Reference</t>
  </si>
  <si>
    <t xml:space="preserve">Version</t>
  </si>
  <si>
    <t xml:space="preserve">Last Review Date</t>
  </si>
  <si>
    <t xml:space="preserve">Next Review Due</t>
  </si>
  <si>
    <t xml:space="preserve">Key Compliance Requirement</t>
  </si>
  <si>
    <t xml:space="preserve">Policy Owner</t>
  </si>
  <si>
    <t xml:space="preserve">Compliance Status</t>
  </si>
  <si>
    <t xml:space="preserve">Risk Rating</t>
  </si>
  <si>
    <t xml:space="preserve">POL-R-001</t>
  </si>
  <si>
    <t xml:space="preserve">Credit Risk Management Policy</t>
  </si>
  <si>
    <t xml:space="preserve">RBI Master Direction - NBFC Scale Based Regulation, 2023</t>
  </si>
  <si>
    <t xml:space="preserve">v4.2</t>
  </si>
  <si>
    <t xml:space="preserve">2026-01-15</t>
  </si>
  <si>
    <t xml:space="preserve">2027-01-15</t>
  </si>
  <si>
    <t xml:space="preserve">Board-approved exposure limits per borrower/group category to be reviewed annually</t>
  </si>
  <si>
    <t xml:space="preserve">Chief Risk Officer</t>
  </si>
  <si>
    <t xml:space="preserve">Compliant</t>
  </si>
  <si>
    <t xml:space="preserve">Low</t>
  </si>
  <si>
    <t xml:space="preserve">POL-R-002</t>
  </si>
  <si>
    <t xml:space="preserve">Fraud Risk Management Policy</t>
  </si>
  <si>
    <t xml:space="preserve">RBI Master Direction on Fraud Risk Management, 2024</t>
  </si>
  <si>
    <t xml:space="preserve">v3.0</t>
  </si>
  <si>
    <t xml:space="preserve">2025-11-20</t>
  </si>
  <si>
    <t xml:space="preserve">2026-11-20</t>
  </si>
  <si>
    <t xml:space="preserve">Fraud Monitoring Group to report to Board within 21 days of fraud classification</t>
  </si>
  <si>
    <t xml:space="preserve">Head - Fraud Risk</t>
  </si>
  <si>
    <t xml:space="preserve">POL-R-003</t>
  </si>
  <si>
    <t xml:space="preserve">Asset Classification &amp; Provisioning Policy</t>
  </si>
  <si>
    <t xml:space="preserve">v5.1</t>
  </si>
  <si>
    <t xml:space="preserve">2025-09-05</t>
  </si>
  <si>
    <t xml:space="preserve">2026-09-05</t>
  </si>
  <si>
    <t xml:space="preserve">NPA classification at 90+ DPD; provisioning per prescribed matrix by asset class</t>
  </si>
  <si>
    <t xml:space="preserve">Head - Credit Risk</t>
  </si>
  <si>
    <t xml:space="preserve">Gap Identified</t>
  </si>
  <si>
    <t xml:space="preserve">Medium</t>
  </si>
  <si>
    <t xml:space="preserve">POL-R-004</t>
  </si>
  <si>
    <t xml:space="preserve">Model Risk &amp; Validation Policy</t>
  </si>
  <si>
    <t xml:space="preserve">RBI Guidance Note on Credit Risk &amp; AI/ML Models, 2025</t>
  </si>
  <si>
    <t xml:space="preserve">v1.3</t>
  </si>
  <si>
    <t xml:space="preserve">2026-03-01</t>
  </si>
  <si>
    <t xml:space="preserve">2027-03-01</t>
  </si>
  <si>
    <t xml:space="preserve">Independent validation of credit scoring models at least once every 2 years</t>
  </si>
  <si>
    <t xml:space="preserve">Head - Analytics &amp; Model Risk</t>
  </si>
  <si>
    <t xml:space="preserve">In Progress</t>
  </si>
  <si>
    <t xml:space="preserve">POL-R-005</t>
  </si>
  <si>
    <t xml:space="preserve">Stress Testing &amp; ICAAP Policy</t>
  </si>
  <si>
    <t xml:space="preserve">v2.4</t>
  </si>
  <si>
    <t xml:space="preserve">2025-12-10</t>
  </si>
  <si>
    <t xml:space="preserve">2026-12-10</t>
  </si>
  <si>
    <t xml:space="preserve">Annual stress testing across credit, liquidity and concentration risk scenarios</t>
  </si>
  <si>
    <t xml:space="preserve">POL-R-006</t>
  </si>
  <si>
    <t xml:space="preserve">Outsourcing &amp; Third-Party Risk Policy</t>
  </si>
  <si>
    <t xml:space="preserve">RBI Guidelines on Outsourcing of Financial Services, 2023</t>
  </si>
  <si>
    <t xml:space="preserve">v3.5</t>
  </si>
  <si>
    <t xml:space="preserve">2026-02-18</t>
  </si>
  <si>
    <t xml:space="preserve">2027-02-18</t>
  </si>
  <si>
    <t xml:space="preserve">Due diligence and periodic risk assessment of all critical service providers</t>
  </si>
  <si>
    <t xml:space="preserve">Head - Operational Risk</t>
  </si>
  <si>
    <t xml:space="preserve">High</t>
  </si>
  <si>
    <t xml:space="preserve">POL-R-007</t>
  </si>
  <si>
    <t xml:space="preserve">Concentration Risk Policy</t>
  </si>
  <si>
    <t xml:space="preserve">Internal Board Policy, aligned to RBI Large Exposure Framework</t>
  </si>
  <si>
    <t xml:space="preserve">v2.0</t>
  </si>
  <si>
    <t xml:space="preserve">2025-08-22</t>
  </si>
  <si>
    <t xml:space="preserve">2026-08-22</t>
  </si>
  <si>
    <t xml:space="preserve">Single/group borrower and sector exposure caps monitored monthly</t>
  </si>
  <si>
    <t xml:space="preserve">POL-R-008</t>
  </si>
  <si>
    <t xml:space="preserve">Collateral &amp; LTV Management Policy</t>
  </si>
  <si>
    <t xml:space="preserve">RBI Guidelines on Gold Loan Lending, 2025</t>
  </si>
  <si>
    <t xml:space="preserve">v2.6</t>
  </si>
  <si>
    <t xml:space="preserve">2026-04-01</t>
  </si>
  <si>
    <t xml:space="preserve">2026-10-01</t>
  </si>
  <si>
    <t xml:space="preserve">LTV to be monitored daily for gold loans; auction triggers within 7 days of breach</t>
  </si>
  <si>
    <t xml:space="preserve">Head - Secured Lending</t>
  </si>
  <si>
    <t xml:space="preserve">Total AUM (Rs Cr)</t>
  </si>
  <si>
    <t xml:space="preserve">Disbursement (Rs Cr)</t>
  </si>
  <si>
    <t xml:space="preserve">Collection Efficiency (%)</t>
  </si>
  <si>
    <t xml:space="preserve">30+ DPD (%)</t>
  </si>
  <si>
    <t xml:space="preserve">Early Warning Signals (Count)</t>
  </si>
  <si>
    <t xml:space="preserve">Top Early Warning Signal</t>
  </si>
  <si>
    <t xml:space="preserve">Sector concentration rising in textiles - Surat cluster</t>
  </si>
  <si>
    <t xml:space="preserve">Bureau score dip among 25-30 age cohort</t>
  </si>
  <si>
    <t xml:space="preserve">None material</t>
  </si>
  <si>
    <t xml:space="preserve">Gold price volatility impacting LTV headroom</t>
  </si>
  <si>
    <t xml:space="preserve">Two large accounts showing cash flow stress - Jaipur</t>
  </si>
  <si>
    <t xml:space="preserve">Rising bounce rate in auto-debit EMIs</t>
  </si>
  <si>
    <t xml:space="preserve">Auction backlog increasing in Nagpur branch</t>
  </si>
  <si>
    <t xml:space="preserve">Ahmedabad and Jaipur clusters flagged for portfolio review</t>
  </si>
  <si>
    <t xml:space="preserve">Delinquency creeping up in unsecured personal loans</t>
  </si>
  <si>
    <t xml:space="preserve">Two accounts flagged for restructuring evaluation</t>
  </si>
  <si>
    <t xml:space="preserve">Gold price correction - LTV breaches accelerating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</si>
</sst>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3.75" hidden="false" customHeight="true" outlineLevel="0" collapsed="false">
      <c r="A5" s="3" t="s">
        <v>3</v>
      </c>
      <c r="B5" s="3" t="s">
        <v>4</v>
      </c>
      <c r="C5" s="3" t="s">
        <v>5</v>
      </c>
    </row>
    <row r="6" customFormat="false" ht="33.75" hidden="false" customHeight="true" outlineLevel="0" collapsed="false">
      <c r="A6" s="4" t="s">
        <v>6</v>
      </c>
      <c r="B6" s="4" t="s">
        <v>7</v>
      </c>
      <c r="C6" s="4" t="s">
        <v>8</v>
      </c>
    </row>
    <row r="7" customFormat="false" ht="33.75" hidden="false" customHeight="true" outlineLevel="0" collapsed="false">
      <c r="A7" s="5" t="s">
        <v>9</v>
      </c>
      <c r="B7" s="5" t="s">
        <v>10</v>
      </c>
      <c r="C7" s="5" t="s">
        <v>11</v>
      </c>
    </row>
    <row r="8" customFormat="false" ht="33.75" hidden="false" customHeight="true" outlineLevel="0" collapsed="false">
      <c r="A8" s="4" t="s">
        <v>12</v>
      </c>
      <c r="B8" s="4" t="s">
        <v>13</v>
      </c>
      <c r="C8" s="4" t="s">
        <v>14</v>
      </c>
    </row>
    <row r="9" customFormat="false" ht="33.75" hidden="false" customHeight="true" outlineLevel="0" collapsed="false">
      <c r="A9" s="5" t="s">
        <v>15</v>
      </c>
      <c r="B9" s="5" t="s">
        <v>16</v>
      </c>
      <c r="C9" s="5" t="s">
        <v>17</v>
      </c>
    </row>
    <row r="10" customFormat="false" ht="33.75" hidden="false" customHeight="true" outlineLevel="0" collapsed="false">
      <c r="A10" s="4" t="s">
        <v>18</v>
      </c>
      <c r="B10" s="4" t="s">
        <v>19</v>
      </c>
      <c r="C10" s="4" t="s">
        <v>20</v>
      </c>
    </row>
    <row r="12" customFormat="false" ht="15" hidden="false" customHeight="false" outlineLevel="0" collapsed="false">
      <c r="A12" s="6" t="s">
        <v>21</v>
      </c>
    </row>
    <row r="13" customFormat="false" ht="15" hidden="false" customHeight="false" outlineLevel="0" collapsed="false">
      <c r="A13" s="7" t="s">
        <v>22</v>
      </c>
    </row>
    <row r="14" customFormat="false" ht="15" hidden="false" customHeight="false" outlineLevel="0" collapsed="false">
      <c r="A14" s="7" t="s">
        <v>23</v>
      </c>
    </row>
    <row r="15" customFormat="false" ht="15" hidden="false" customHeight="false" outlineLevel="0" collapsed="false">
      <c r="A15" s="7" t="s">
        <v>24</v>
      </c>
    </row>
    <row r="16" customFormat="false" ht="15" hidden="false" customHeight="false" outlineLevel="0" collapsed="false">
      <c r="A16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4"/>
  </cols>
  <sheetData>
    <row r="1" customFormat="false" ht="39.5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</row>
    <row r="2" customFormat="false" ht="15" hidden="false" customHeight="false" outlineLevel="0" collapsed="false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5" t="n">
        <v>2500000</v>
      </c>
      <c r="G2" s="5" t="n">
        <v>2180000</v>
      </c>
      <c r="H2" s="5" t="n">
        <v>60</v>
      </c>
      <c r="I2" s="5" t="n">
        <v>14.5</v>
      </c>
      <c r="J2" s="5" t="n">
        <v>0</v>
      </c>
      <c r="K2" s="5" t="s">
        <v>46</v>
      </c>
      <c r="L2" s="5" t="n">
        <v>742</v>
      </c>
      <c r="M2" s="5" t="n">
        <v>110</v>
      </c>
      <c r="N2" s="5" t="n">
        <v>68</v>
      </c>
      <c r="O2" s="5" t="s">
        <v>47</v>
      </c>
    </row>
    <row r="3" customFormat="false" ht="15" hidden="false" customHeight="false" outlineLevel="0" collapsed="false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n">
        <v>600000</v>
      </c>
      <c r="G3" s="4" t="n">
        <v>512000</v>
      </c>
      <c r="H3" s="4" t="n">
        <v>36</v>
      </c>
      <c r="I3" s="4" t="n">
        <v>16</v>
      </c>
      <c r="J3" s="4" t="n">
        <v>12</v>
      </c>
      <c r="K3" s="4" t="s">
        <v>46</v>
      </c>
      <c r="L3" s="4" t="n">
        <v>706</v>
      </c>
      <c r="M3" s="4" t="n">
        <v>0</v>
      </c>
      <c r="N3" s="4" t="n">
        <v>0</v>
      </c>
      <c r="O3" s="4" t="s">
        <v>47</v>
      </c>
    </row>
    <row r="4" customFormat="false" ht="15" hidden="false" customHeight="false" outlineLevel="0" collapsed="false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n">
        <v>8500000</v>
      </c>
      <c r="G4" s="5" t="n">
        <v>7120000</v>
      </c>
      <c r="H4" s="5" t="n">
        <v>180</v>
      </c>
      <c r="I4" s="5" t="n">
        <v>9.2</v>
      </c>
      <c r="J4" s="5" t="n">
        <v>0</v>
      </c>
      <c r="K4" s="5" t="s">
        <v>58</v>
      </c>
      <c r="L4" s="5" t="n">
        <v>781</v>
      </c>
      <c r="M4" s="5" t="n">
        <v>140</v>
      </c>
      <c r="N4" s="5" t="n">
        <v>62</v>
      </c>
      <c r="O4" s="5" t="s">
        <v>47</v>
      </c>
    </row>
    <row r="5" customFormat="false" ht="15" hidden="false" customHeight="false" outlineLevel="0" collapsed="false">
      <c r="A5" s="4" t="s">
        <v>59</v>
      </c>
      <c r="B5" s="4" t="s">
        <v>60</v>
      </c>
      <c r="C5" s="4" t="s">
        <v>61</v>
      </c>
      <c r="D5" s="4" t="s">
        <v>62</v>
      </c>
      <c r="E5" s="4" t="s">
        <v>63</v>
      </c>
      <c r="F5" s="4" t="n">
        <v>350000</v>
      </c>
      <c r="G5" s="4" t="n">
        <v>340000</v>
      </c>
      <c r="H5" s="4" t="n">
        <v>12</v>
      </c>
      <c r="I5" s="4" t="n">
        <v>11.5</v>
      </c>
      <c r="J5" s="4" t="n">
        <v>45</v>
      </c>
      <c r="K5" s="4" t="s">
        <v>64</v>
      </c>
      <c r="L5" s="4" t="n">
        <v>0</v>
      </c>
      <c r="M5" s="4" t="n">
        <v>180</v>
      </c>
      <c r="N5" s="4" t="n">
        <v>45</v>
      </c>
      <c r="O5" s="4" t="s">
        <v>65</v>
      </c>
    </row>
    <row r="6" customFormat="false" ht="23.85" hidden="false" customHeight="false" outlineLevel="0" collapsed="false">
      <c r="A6" s="5" t="s">
        <v>66</v>
      </c>
      <c r="B6" s="5" t="s">
        <v>67</v>
      </c>
      <c r="C6" s="5" t="s">
        <v>50</v>
      </c>
      <c r="D6" s="5" t="s">
        <v>68</v>
      </c>
      <c r="E6" s="5" t="s">
        <v>69</v>
      </c>
      <c r="F6" s="5" t="n">
        <v>120000</v>
      </c>
      <c r="G6" s="5" t="n">
        <v>88000</v>
      </c>
      <c r="H6" s="5" t="n">
        <v>18</v>
      </c>
      <c r="I6" s="5" t="n">
        <v>18</v>
      </c>
      <c r="J6" s="5" t="n">
        <v>0</v>
      </c>
      <c r="K6" s="5" t="s">
        <v>58</v>
      </c>
      <c r="L6" s="5" t="n">
        <v>719</v>
      </c>
      <c r="M6" s="5" t="n">
        <v>0</v>
      </c>
      <c r="N6" s="5" t="n">
        <v>0</v>
      </c>
      <c r="O6" s="5" t="s">
        <v>47</v>
      </c>
    </row>
    <row r="7" customFormat="false" ht="15" hidden="false" customHeight="false" outlineLevel="0" collapsed="false">
      <c r="A7" s="4" t="s">
        <v>70</v>
      </c>
      <c r="B7" s="4" t="s">
        <v>42</v>
      </c>
      <c r="C7" s="4" t="s">
        <v>43</v>
      </c>
      <c r="D7" s="4" t="s">
        <v>71</v>
      </c>
      <c r="E7" s="4" t="s">
        <v>72</v>
      </c>
      <c r="F7" s="4" t="n">
        <v>4200000</v>
      </c>
      <c r="G7" s="4" t="n">
        <v>3350000</v>
      </c>
      <c r="H7" s="4" t="n">
        <v>84</v>
      </c>
      <c r="I7" s="4" t="n">
        <v>13.8</v>
      </c>
      <c r="J7" s="4" t="n">
        <v>95</v>
      </c>
      <c r="K7" s="4" t="s">
        <v>73</v>
      </c>
      <c r="L7" s="4" t="n">
        <v>658</v>
      </c>
      <c r="M7" s="4" t="n">
        <v>90</v>
      </c>
      <c r="N7" s="4" t="n">
        <v>74</v>
      </c>
      <c r="O7" s="4" t="s">
        <v>74</v>
      </c>
    </row>
    <row r="8" customFormat="false" ht="15" hidden="false" customHeight="false" outlineLevel="0" collapsed="false">
      <c r="A8" s="5" t="s">
        <v>75</v>
      </c>
      <c r="B8" s="5" t="s">
        <v>49</v>
      </c>
      <c r="C8" s="5" t="s">
        <v>50</v>
      </c>
      <c r="D8" s="5" t="s">
        <v>76</v>
      </c>
      <c r="E8" s="5" t="s">
        <v>77</v>
      </c>
      <c r="F8" s="5" t="n">
        <v>450000</v>
      </c>
      <c r="G8" s="5" t="n">
        <v>398000</v>
      </c>
      <c r="H8" s="5" t="n">
        <v>48</v>
      </c>
      <c r="I8" s="5" t="n">
        <v>16.5</v>
      </c>
      <c r="J8" s="5" t="n">
        <v>0</v>
      </c>
      <c r="K8" s="5" t="s">
        <v>46</v>
      </c>
      <c r="L8" s="5" t="n">
        <v>698</v>
      </c>
      <c r="M8" s="5" t="n">
        <v>0</v>
      </c>
      <c r="N8" s="5" t="n">
        <v>0</v>
      </c>
      <c r="O8" s="5" t="s">
        <v>47</v>
      </c>
    </row>
    <row r="9" customFormat="false" ht="15" hidden="false" customHeight="false" outlineLevel="0" collapsed="false">
      <c r="A9" s="4" t="s">
        <v>78</v>
      </c>
      <c r="B9" s="4" t="s">
        <v>54</v>
      </c>
      <c r="C9" s="4" t="s">
        <v>55</v>
      </c>
      <c r="D9" s="4" t="s">
        <v>44</v>
      </c>
      <c r="E9" s="4" t="s">
        <v>79</v>
      </c>
      <c r="F9" s="4" t="n">
        <v>6000000</v>
      </c>
      <c r="G9" s="4" t="n">
        <v>4210000</v>
      </c>
      <c r="H9" s="4" t="n">
        <v>240</v>
      </c>
      <c r="I9" s="4" t="n">
        <v>8.9</v>
      </c>
      <c r="J9" s="4" t="n">
        <v>0</v>
      </c>
      <c r="K9" s="4" t="s">
        <v>58</v>
      </c>
      <c r="L9" s="4" t="n">
        <v>765</v>
      </c>
      <c r="M9" s="4" t="n">
        <v>150</v>
      </c>
      <c r="N9" s="4" t="n">
        <v>58</v>
      </c>
      <c r="O9" s="4" t="s">
        <v>47</v>
      </c>
    </row>
    <row r="10" customFormat="false" ht="15" hidden="false" customHeight="false" outlineLevel="0" collapsed="false">
      <c r="A10" s="5" t="s">
        <v>80</v>
      </c>
      <c r="B10" s="5" t="s">
        <v>42</v>
      </c>
      <c r="C10" s="5" t="s">
        <v>43</v>
      </c>
      <c r="D10" s="5" t="s">
        <v>81</v>
      </c>
      <c r="E10" s="5" t="s">
        <v>82</v>
      </c>
      <c r="F10" s="5" t="n">
        <v>1800000</v>
      </c>
      <c r="G10" s="5" t="n">
        <v>1690000</v>
      </c>
      <c r="H10" s="5" t="n">
        <v>60</v>
      </c>
      <c r="I10" s="5" t="n">
        <v>14.2</v>
      </c>
      <c r="J10" s="5" t="n">
        <v>130</v>
      </c>
      <c r="K10" s="5" t="s">
        <v>73</v>
      </c>
      <c r="L10" s="5" t="n">
        <v>641</v>
      </c>
      <c r="M10" s="5" t="n">
        <v>85</v>
      </c>
      <c r="N10" s="5" t="n">
        <v>80</v>
      </c>
      <c r="O10" s="5" t="s">
        <v>83</v>
      </c>
    </row>
    <row r="11" customFormat="false" ht="15" hidden="false" customHeight="false" outlineLevel="0" collapsed="false">
      <c r="A11" s="4" t="s">
        <v>84</v>
      </c>
      <c r="B11" s="4" t="s">
        <v>60</v>
      </c>
      <c r="C11" s="4" t="s">
        <v>61</v>
      </c>
      <c r="D11" s="4" t="s">
        <v>85</v>
      </c>
      <c r="E11" s="4" t="s">
        <v>86</v>
      </c>
      <c r="F11" s="4" t="n">
        <v>280000</v>
      </c>
      <c r="G11" s="4" t="n">
        <v>270000</v>
      </c>
      <c r="H11" s="4" t="n">
        <v>12</v>
      </c>
      <c r="I11" s="4" t="n">
        <v>11</v>
      </c>
      <c r="J11" s="4" t="n">
        <v>0</v>
      </c>
      <c r="K11" s="4" t="s">
        <v>58</v>
      </c>
      <c r="L11" s="4" t="n">
        <v>0</v>
      </c>
      <c r="M11" s="4" t="n">
        <v>190</v>
      </c>
      <c r="N11" s="4" t="n">
        <v>42</v>
      </c>
      <c r="O11" s="4" t="s">
        <v>47</v>
      </c>
    </row>
    <row r="12" customFormat="false" ht="15" hidden="false" customHeight="false" outlineLevel="0" collapsed="false">
      <c r="A12" s="5" t="s">
        <v>87</v>
      </c>
      <c r="B12" s="5" t="s">
        <v>49</v>
      </c>
      <c r="C12" s="5" t="s">
        <v>50</v>
      </c>
      <c r="D12" s="5" t="s">
        <v>88</v>
      </c>
      <c r="E12" s="5" t="s">
        <v>89</v>
      </c>
      <c r="F12" s="5" t="n">
        <v>550000</v>
      </c>
      <c r="G12" s="5" t="n">
        <v>470000</v>
      </c>
      <c r="H12" s="5" t="n">
        <v>36</v>
      </c>
      <c r="I12" s="5" t="n">
        <v>16.2</v>
      </c>
      <c r="J12" s="5" t="n">
        <v>180</v>
      </c>
      <c r="K12" s="5" t="s">
        <v>90</v>
      </c>
      <c r="L12" s="5" t="n">
        <v>602</v>
      </c>
      <c r="M12" s="5" t="n">
        <v>0</v>
      </c>
      <c r="N12" s="5" t="n">
        <v>0</v>
      </c>
      <c r="O12" s="5" t="s">
        <v>83</v>
      </c>
    </row>
    <row r="13" customFormat="false" ht="23.85" hidden="false" customHeight="false" outlineLevel="0" collapsed="false">
      <c r="A13" s="4" t="s">
        <v>91</v>
      </c>
      <c r="B13" s="4" t="s">
        <v>67</v>
      </c>
      <c r="C13" s="4" t="s">
        <v>50</v>
      </c>
      <c r="D13" s="4" t="s">
        <v>92</v>
      </c>
      <c r="E13" s="4" t="s">
        <v>93</v>
      </c>
      <c r="F13" s="4" t="n">
        <v>95000</v>
      </c>
      <c r="G13" s="4" t="n">
        <v>71000</v>
      </c>
      <c r="H13" s="4" t="n">
        <v>12</v>
      </c>
      <c r="I13" s="4" t="n">
        <v>17.5</v>
      </c>
      <c r="J13" s="4" t="n">
        <v>0</v>
      </c>
      <c r="K13" s="4" t="s">
        <v>58</v>
      </c>
      <c r="L13" s="4" t="n">
        <v>712</v>
      </c>
      <c r="M13" s="4" t="n">
        <v>0</v>
      </c>
      <c r="N13" s="4" t="n">
        <v>0</v>
      </c>
      <c r="O13" s="4" t="s">
        <v>47</v>
      </c>
    </row>
    <row r="14" customFormat="false" ht="15" hidden="false" customHeight="false" outlineLevel="0" collapsed="false">
      <c r="A14" s="5" t="s">
        <v>94</v>
      </c>
      <c r="B14" s="5" t="s">
        <v>42</v>
      </c>
      <c r="C14" s="5" t="s">
        <v>43</v>
      </c>
      <c r="D14" s="5" t="s">
        <v>95</v>
      </c>
      <c r="E14" s="5" t="s">
        <v>96</v>
      </c>
      <c r="F14" s="5" t="n">
        <v>3100000</v>
      </c>
      <c r="G14" s="5" t="n">
        <v>2540000</v>
      </c>
      <c r="H14" s="5" t="n">
        <v>72</v>
      </c>
      <c r="I14" s="5" t="n">
        <v>13.5</v>
      </c>
      <c r="J14" s="5" t="n">
        <v>15</v>
      </c>
      <c r="K14" s="5" t="s">
        <v>46</v>
      </c>
      <c r="L14" s="5" t="n">
        <v>725</v>
      </c>
      <c r="M14" s="5" t="n">
        <v>95</v>
      </c>
      <c r="N14" s="5" t="n">
        <v>71</v>
      </c>
      <c r="O14" s="5" t="s">
        <v>97</v>
      </c>
    </row>
    <row r="15" customFormat="false" ht="15" hidden="false" customHeight="false" outlineLevel="0" collapsed="false">
      <c r="A15" s="4" t="s">
        <v>98</v>
      </c>
      <c r="B15" s="4" t="s">
        <v>54</v>
      </c>
      <c r="C15" s="4" t="s">
        <v>55</v>
      </c>
      <c r="D15" s="4" t="s">
        <v>99</v>
      </c>
      <c r="E15" s="4" t="s">
        <v>100</v>
      </c>
      <c r="F15" s="4" t="n">
        <v>5200000</v>
      </c>
      <c r="G15" s="4" t="n">
        <v>4460000</v>
      </c>
      <c r="H15" s="4" t="n">
        <v>204</v>
      </c>
      <c r="I15" s="4" t="n">
        <v>9</v>
      </c>
      <c r="J15" s="4" t="n">
        <v>60</v>
      </c>
      <c r="K15" s="4" t="s">
        <v>64</v>
      </c>
      <c r="L15" s="4" t="n">
        <v>689</v>
      </c>
      <c r="M15" s="4" t="n">
        <v>145</v>
      </c>
      <c r="N15" s="4" t="n">
        <v>64</v>
      </c>
      <c r="O15" s="4" t="s">
        <v>65</v>
      </c>
    </row>
    <row r="16" customFormat="false" ht="15" hidden="false" customHeight="false" outlineLevel="0" collapsed="false">
      <c r="A16" s="5" t="s">
        <v>101</v>
      </c>
      <c r="B16" s="5" t="s">
        <v>60</v>
      </c>
      <c r="C16" s="5" t="s">
        <v>61</v>
      </c>
      <c r="D16" s="5" t="s">
        <v>102</v>
      </c>
      <c r="E16" s="5" t="s">
        <v>103</v>
      </c>
      <c r="F16" s="5" t="n">
        <v>190000</v>
      </c>
      <c r="G16" s="5" t="n">
        <v>182000</v>
      </c>
      <c r="H16" s="5" t="n">
        <v>12</v>
      </c>
      <c r="I16" s="5" t="n">
        <v>11.2</v>
      </c>
      <c r="J16" s="5" t="n">
        <v>0</v>
      </c>
      <c r="K16" s="5" t="s">
        <v>58</v>
      </c>
      <c r="L16" s="5" t="n">
        <v>0</v>
      </c>
      <c r="M16" s="5" t="n">
        <v>175</v>
      </c>
      <c r="N16" s="5" t="n">
        <v>40</v>
      </c>
      <c r="O16" s="5" t="s">
        <v>47</v>
      </c>
    </row>
    <row r="17" customFormat="false" ht="15" hidden="false" customHeight="false" outlineLevel="0" collapsed="false">
      <c r="A17" s="4" t="s">
        <v>104</v>
      </c>
      <c r="B17" s="4" t="s">
        <v>49</v>
      </c>
      <c r="C17" s="4" t="s">
        <v>50</v>
      </c>
      <c r="D17" s="4" t="s">
        <v>51</v>
      </c>
      <c r="E17" s="4" t="s">
        <v>105</v>
      </c>
      <c r="F17" s="4" t="n">
        <v>700000</v>
      </c>
      <c r="G17" s="4" t="n">
        <v>540000</v>
      </c>
      <c r="H17" s="4" t="n">
        <v>48</v>
      </c>
      <c r="I17" s="4" t="n">
        <v>16</v>
      </c>
      <c r="J17" s="4" t="n">
        <v>0</v>
      </c>
      <c r="K17" s="4" t="s">
        <v>46</v>
      </c>
      <c r="L17" s="4" t="n">
        <v>733</v>
      </c>
      <c r="M17" s="4" t="n">
        <v>0</v>
      </c>
      <c r="N17" s="4" t="n">
        <v>0</v>
      </c>
      <c r="O17" s="4" t="s">
        <v>47</v>
      </c>
    </row>
    <row r="18" customFormat="false" ht="15" hidden="false" customHeight="false" outlineLevel="0" collapsed="false">
      <c r="A18" s="5" t="s">
        <v>106</v>
      </c>
      <c r="B18" s="5" t="s">
        <v>42</v>
      </c>
      <c r="C18" s="5" t="s">
        <v>43</v>
      </c>
      <c r="D18" s="5" t="s">
        <v>44</v>
      </c>
      <c r="E18" s="5" t="s">
        <v>107</v>
      </c>
      <c r="F18" s="5" t="n">
        <v>2900000</v>
      </c>
      <c r="G18" s="5" t="n">
        <v>2610000</v>
      </c>
      <c r="H18" s="5" t="n">
        <v>60</v>
      </c>
      <c r="I18" s="5" t="n">
        <v>14</v>
      </c>
      <c r="J18" s="5" t="n">
        <v>220</v>
      </c>
      <c r="K18" s="5" t="s">
        <v>90</v>
      </c>
      <c r="L18" s="5" t="n">
        <v>615</v>
      </c>
      <c r="M18" s="5" t="n">
        <v>80</v>
      </c>
      <c r="N18" s="5" t="n">
        <v>88</v>
      </c>
      <c r="O18" s="5" t="s">
        <v>83</v>
      </c>
    </row>
    <row r="19" customFormat="false" ht="23.85" hidden="false" customHeight="false" outlineLevel="0" collapsed="false">
      <c r="A19" s="4" t="s">
        <v>108</v>
      </c>
      <c r="B19" s="4" t="s">
        <v>67</v>
      </c>
      <c r="C19" s="4" t="s">
        <v>50</v>
      </c>
      <c r="D19" s="4" t="s">
        <v>56</v>
      </c>
      <c r="E19" s="4" t="s">
        <v>109</v>
      </c>
      <c r="F19" s="4" t="n">
        <v>65000</v>
      </c>
      <c r="G19" s="4" t="n">
        <v>58000</v>
      </c>
      <c r="H19" s="4" t="n">
        <v>9</v>
      </c>
      <c r="I19" s="4" t="n">
        <v>18.5</v>
      </c>
      <c r="J19" s="4" t="n">
        <v>0</v>
      </c>
      <c r="K19" s="4" t="s">
        <v>58</v>
      </c>
      <c r="L19" s="4" t="n">
        <v>708</v>
      </c>
      <c r="M19" s="4" t="n">
        <v>0</v>
      </c>
      <c r="N19" s="4" t="n">
        <v>0</v>
      </c>
      <c r="O19" s="4" t="s">
        <v>47</v>
      </c>
    </row>
    <row r="20" customFormat="false" ht="15" hidden="false" customHeight="false" outlineLevel="0" collapsed="false">
      <c r="A20" s="5" t="s">
        <v>110</v>
      </c>
      <c r="B20" s="5" t="s">
        <v>54</v>
      </c>
      <c r="C20" s="5" t="s">
        <v>55</v>
      </c>
      <c r="D20" s="5" t="s">
        <v>111</v>
      </c>
      <c r="E20" s="5" t="s">
        <v>112</v>
      </c>
      <c r="F20" s="5" t="n">
        <v>7000000</v>
      </c>
      <c r="G20" s="5" t="n">
        <v>5680000</v>
      </c>
      <c r="H20" s="5" t="n">
        <v>216</v>
      </c>
      <c r="I20" s="5" t="n">
        <v>9.1</v>
      </c>
      <c r="J20" s="5" t="n">
        <v>0</v>
      </c>
      <c r="K20" s="5" t="s">
        <v>58</v>
      </c>
      <c r="L20" s="5" t="n">
        <v>758</v>
      </c>
      <c r="M20" s="5" t="n">
        <v>135</v>
      </c>
      <c r="N20" s="5" t="n">
        <v>60</v>
      </c>
      <c r="O20" s="5" t="s">
        <v>47</v>
      </c>
    </row>
    <row r="21" customFormat="false" ht="15" hidden="false" customHeight="false" outlineLevel="0" collapsed="false">
      <c r="A21" s="4" t="s">
        <v>113</v>
      </c>
      <c r="B21" s="4" t="s">
        <v>49</v>
      </c>
      <c r="C21" s="4" t="s">
        <v>50</v>
      </c>
      <c r="D21" s="4" t="s">
        <v>62</v>
      </c>
      <c r="E21" s="4" t="s">
        <v>114</v>
      </c>
      <c r="F21" s="4" t="n">
        <v>480000</v>
      </c>
      <c r="G21" s="4" t="n">
        <v>415000</v>
      </c>
      <c r="H21" s="4" t="n">
        <v>36</v>
      </c>
      <c r="I21" s="4" t="n">
        <v>16.3</v>
      </c>
      <c r="J21" s="4" t="n">
        <v>35</v>
      </c>
      <c r="K21" s="4" t="s">
        <v>64</v>
      </c>
      <c r="L21" s="4" t="n">
        <v>671</v>
      </c>
      <c r="M21" s="4" t="n">
        <v>0</v>
      </c>
      <c r="N21" s="4" t="n">
        <v>0</v>
      </c>
      <c r="O21" s="4" t="s">
        <v>97</v>
      </c>
    </row>
    <row r="23" customFormat="false" ht="15" hidden="false" customHeight="false" outlineLevel="0" collapsed="false">
      <c r="A23" s="6" t="s">
        <v>115</v>
      </c>
    </row>
    <row r="24" customFormat="false" ht="15" hidden="false" customHeight="false" outlineLevel="0" collapsed="false">
      <c r="A24" s="8" t="s">
        <v>116</v>
      </c>
      <c r="B24" s="8" t="n">
        <f aca="false">COUNTA(A2:A21)</f>
        <v>20</v>
      </c>
    </row>
    <row r="25" customFormat="false" ht="15" hidden="false" customHeight="false" outlineLevel="0" collapsed="false">
      <c r="A25" s="8" t="s">
        <v>117</v>
      </c>
      <c r="B25" s="8" t="n">
        <f aca="false">SUM(G2:G21)</f>
        <v>37184000</v>
      </c>
    </row>
    <row r="26" customFormat="false" ht="15" hidden="false" customHeight="false" outlineLevel="0" collapsed="false">
      <c r="A26" s="8" t="s">
        <v>118</v>
      </c>
      <c r="B26" s="8" t="n">
        <f aca="false">SUMIF(O2:O21,"NPA",G2:G21)</f>
        <v>4770000</v>
      </c>
    </row>
    <row r="27" customFormat="false" ht="15" hidden="false" customHeight="false" outlineLevel="0" collapsed="false">
      <c r="A27" s="8" t="s">
        <v>119</v>
      </c>
      <c r="B27" s="8" t="n">
        <f aca="false">ROUND(B26/B25*100,2)</f>
        <v>12.83</v>
      </c>
    </row>
    <row r="28" customFormat="false" ht="15" hidden="false" customHeight="false" outlineLevel="0" collapsed="false">
      <c r="A28" s="8" t="s">
        <v>120</v>
      </c>
      <c r="B28" s="8" t="n">
        <f aca="false">SUMPRODUCT((LEFT(O2:O21,3)="SMA")*G2:G21)</f>
        <v>11105000</v>
      </c>
    </row>
    <row r="29" customFormat="false" ht="15" hidden="false" customHeight="false" outlineLevel="0" collapsed="false">
      <c r="A29" s="8" t="s">
        <v>121</v>
      </c>
      <c r="B29" s="8" t="n">
        <f aca="false">COUNTIF(K2:K21,"D")+COUNTIF(K2:K21,"E")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16"/>
  </cols>
  <sheetData>
    <row r="1" customFormat="false" ht="39.55" hidden="false" customHeight="false" outlineLevel="0" collapsed="false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</row>
    <row r="2" customFormat="false" ht="15" hidden="false" customHeight="false" outlineLevel="0" collapsed="false">
      <c r="A2" s="5" t="s">
        <v>135</v>
      </c>
      <c r="B2" s="5" t="s">
        <v>136</v>
      </c>
      <c r="C2" s="5" t="s">
        <v>137</v>
      </c>
      <c r="D2" s="5" t="s">
        <v>138</v>
      </c>
      <c r="E2" s="5" t="s">
        <v>139</v>
      </c>
      <c r="F2" s="5" t="n">
        <v>245000</v>
      </c>
      <c r="G2" s="5" t="s">
        <v>44</v>
      </c>
      <c r="H2" s="5" t="s">
        <v>140</v>
      </c>
      <c r="I2" s="5" t="s">
        <v>140</v>
      </c>
      <c r="J2" s="5" t="s">
        <v>141</v>
      </c>
      <c r="K2" s="5" t="n">
        <v>82</v>
      </c>
      <c r="L2" s="5" t="s">
        <v>142</v>
      </c>
      <c r="M2" s="5" t="s">
        <v>143</v>
      </c>
    </row>
    <row r="3" customFormat="false" ht="15" hidden="false" customHeight="false" outlineLevel="0" collapsed="false">
      <c r="A3" s="4" t="s">
        <v>144</v>
      </c>
      <c r="B3" s="4" t="s">
        <v>145</v>
      </c>
      <c r="C3" s="4" t="s">
        <v>146</v>
      </c>
      <c r="D3" s="4" t="s">
        <v>147</v>
      </c>
      <c r="E3" s="4" t="s">
        <v>148</v>
      </c>
      <c r="F3" s="4" t="n">
        <v>18500</v>
      </c>
      <c r="G3" s="4" t="s">
        <v>51</v>
      </c>
      <c r="H3" s="4" t="s">
        <v>141</v>
      </c>
      <c r="I3" s="4" t="s">
        <v>141</v>
      </c>
      <c r="J3" s="4" t="s">
        <v>141</v>
      </c>
      <c r="K3" s="4" t="n">
        <v>35</v>
      </c>
      <c r="L3" s="4" t="s">
        <v>149</v>
      </c>
      <c r="M3" s="4" t="s">
        <v>150</v>
      </c>
    </row>
    <row r="4" customFormat="false" ht="15" hidden="false" customHeight="false" outlineLevel="0" collapsed="false">
      <c r="A4" s="5" t="s">
        <v>151</v>
      </c>
      <c r="B4" s="5" t="s">
        <v>152</v>
      </c>
      <c r="C4" s="5" t="s">
        <v>153</v>
      </c>
      <c r="D4" s="5" t="s">
        <v>154</v>
      </c>
      <c r="E4" s="5" t="s">
        <v>155</v>
      </c>
      <c r="F4" s="5" t="n">
        <v>0</v>
      </c>
      <c r="G4" s="5" t="s">
        <v>68</v>
      </c>
      <c r="H4" s="5" t="s">
        <v>140</v>
      </c>
      <c r="I4" s="5" t="s">
        <v>140</v>
      </c>
      <c r="J4" s="5" t="s">
        <v>140</v>
      </c>
      <c r="K4" s="5" t="n">
        <v>91</v>
      </c>
      <c r="L4" s="5" t="s">
        <v>156</v>
      </c>
      <c r="M4" s="5" t="s">
        <v>143</v>
      </c>
    </row>
    <row r="5" customFormat="false" ht="15" hidden="false" customHeight="false" outlineLevel="0" collapsed="false">
      <c r="A5" s="4" t="s">
        <v>157</v>
      </c>
      <c r="B5" s="4" t="s">
        <v>158</v>
      </c>
      <c r="C5" s="4" t="s">
        <v>159</v>
      </c>
      <c r="D5" s="4" t="s">
        <v>160</v>
      </c>
      <c r="E5" s="4" t="s">
        <v>161</v>
      </c>
      <c r="F5" s="4" t="n">
        <v>520000</v>
      </c>
      <c r="G5" s="4" t="s">
        <v>62</v>
      </c>
      <c r="H5" s="4" t="s">
        <v>141</v>
      </c>
      <c r="I5" s="4" t="s">
        <v>141</v>
      </c>
      <c r="J5" s="4" t="s">
        <v>141</v>
      </c>
      <c r="K5" s="4" t="n">
        <v>68</v>
      </c>
      <c r="L5" s="4" t="s">
        <v>142</v>
      </c>
      <c r="M5" s="4" t="s">
        <v>162</v>
      </c>
    </row>
    <row r="6" customFormat="false" ht="15" hidden="false" customHeight="false" outlineLevel="0" collapsed="false">
      <c r="A6" s="5" t="s">
        <v>163</v>
      </c>
      <c r="B6" s="5" t="s">
        <v>164</v>
      </c>
      <c r="C6" s="5" t="s">
        <v>165</v>
      </c>
      <c r="D6" s="5" t="s">
        <v>166</v>
      </c>
      <c r="E6" s="5" t="s">
        <v>167</v>
      </c>
      <c r="F6" s="5" t="n">
        <v>42000</v>
      </c>
      <c r="G6" s="5" t="s">
        <v>56</v>
      </c>
      <c r="H6" s="5" t="s">
        <v>140</v>
      </c>
      <c r="I6" s="5" t="s">
        <v>140</v>
      </c>
      <c r="J6" s="5" t="s">
        <v>140</v>
      </c>
      <c r="K6" s="5" t="n">
        <v>88</v>
      </c>
      <c r="L6" s="5" t="s">
        <v>156</v>
      </c>
      <c r="M6" s="5" t="s">
        <v>150</v>
      </c>
    </row>
    <row r="7" customFormat="false" ht="15" hidden="false" customHeight="false" outlineLevel="0" collapsed="false">
      <c r="A7" s="4" t="s">
        <v>168</v>
      </c>
      <c r="B7" s="4" t="s">
        <v>169</v>
      </c>
      <c r="C7" s="4" t="s">
        <v>165</v>
      </c>
      <c r="D7" s="4" t="s">
        <v>170</v>
      </c>
      <c r="E7" s="4" t="s">
        <v>161</v>
      </c>
      <c r="F7" s="4" t="n">
        <v>0</v>
      </c>
      <c r="G7" s="4" t="s">
        <v>71</v>
      </c>
      <c r="H7" s="4" t="s">
        <v>140</v>
      </c>
      <c r="I7" s="4" t="s">
        <v>141</v>
      </c>
      <c r="J7" s="4" t="s">
        <v>140</v>
      </c>
      <c r="K7" s="4" t="n">
        <v>76</v>
      </c>
      <c r="L7" s="4" t="s">
        <v>142</v>
      </c>
      <c r="M7" s="4" t="s">
        <v>162</v>
      </c>
    </row>
    <row r="8" customFormat="false" ht="15" hidden="false" customHeight="false" outlineLevel="0" collapsed="false">
      <c r="A8" s="5" t="s">
        <v>171</v>
      </c>
      <c r="B8" s="5" t="s">
        <v>172</v>
      </c>
      <c r="C8" s="5" t="s">
        <v>173</v>
      </c>
      <c r="D8" s="5" t="s">
        <v>174</v>
      </c>
      <c r="E8" s="5" t="s">
        <v>139</v>
      </c>
      <c r="F8" s="5" t="n">
        <v>310000</v>
      </c>
      <c r="G8" s="5" t="s">
        <v>76</v>
      </c>
      <c r="H8" s="5" t="s">
        <v>141</v>
      </c>
      <c r="I8" s="5" t="s">
        <v>140</v>
      </c>
      <c r="J8" s="5" t="s">
        <v>141</v>
      </c>
      <c r="K8" s="5" t="n">
        <v>64</v>
      </c>
      <c r="L8" s="5" t="s">
        <v>149</v>
      </c>
      <c r="M8" s="5" t="s">
        <v>143</v>
      </c>
    </row>
    <row r="9" customFormat="false" ht="15" hidden="false" customHeight="false" outlineLevel="0" collapsed="false">
      <c r="A9" s="4" t="s">
        <v>175</v>
      </c>
      <c r="B9" s="4" t="s">
        <v>176</v>
      </c>
      <c r="C9" s="4" t="s">
        <v>177</v>
      </c>
      <c r="D9" s="4" t="s">
        <v>178</v>
      </c>
      <c r="E9" s="4" t="s">
        <v>148</v>
      </c>
      <c r="F9" s="4" t="n">
        <v>95000</v>
      </c>
      <c r="G9" s="4" t="s">
        <v>81</v>
      </c>
      <c r="H9" s="4" t="s">
        <v>141</v>
      </c>
      <c r="I9" s="4" t="s">
        <v>141</v>
      </c>
      <c r="J9" s="4" t="s">
        <v>141</v>
      </c>
      <c r="K9" s="4" t="n">
        <v>29</v>
      </c>
      <c r="L9" s="4" t="s">
        <v>149</v>
      </c>
      <c r="M9" s="4" t="s">
        <v>150</v>
      </c>
    </row>
    <row r="10" customFormat="false" ht="15" hidden="false" customHeight="false" outlineLevel="0" collapsed="false">
      <c r="A10" s="5" t="s">
        <v>179</v>
      </c>
      <c r="B10" s="5" t="s">
        <v>180</v>
      </c>
      <c r="C10" s="5" t="s">
        <v>181</v>
      </c>
      <c r="D10" s="5" t="s">
        <v>182</v>
      </c>
      <c r="E10" s="5" t="s">
        <v>155</v>
      </c>
      <c r="F10" s="5" t="n">
        <v>275000</v>
      </c>
      <c r="G10" s="5" t="s">
        <v>85</v>
      </c>
      <c r="H10" s="5" t="s">
        <v>140</v>
      </c>
      <c r="I10" s="5" t="s">
        <v>140</v>
      </c>
      <c r="J10" s="5" t="s">
        <v>140</v>
      </c>
      <c r="K10" s="5" t="n">
        <v>94</v>
      </c>
      <c r="L10" s="5" t="s">
        <v>156</v>
      </c>
      <c r="M10" s="5" t="s">
        <v>162</v>
      </c>
    </row>
    <row r="11" customFormat="false" ht="23.85" hidden="false" customHeight="false" outlineLevel="0" collapsed="false">
      <c r="A11" s="4" t="s">
        <v>183</v>
      </c>
      <c r="B11" s="4" t="s">
        <v>184</v>
      </c>
      <c r="C11" s="4" t="s">
        <v>185</v>
      </c>
      <c r="D11" s="4" t="s">
        <v>186</v>
      </c>
      <c r="E11" s="4" t="s">
        <v>161</v>
      </c>
      <c r="F11" s="4" t="n">
        <v>680000</v>
      </c>
      <c r="G11" s="4" t="s">
        <v>88</v>
      </c>
      <c r="H11" s="4" t="s">
        <v>141</v>
      </c>
      <c r="I11" s="4" t="s">
        <v>141</v>
      </c>
      <c r="J11" s="4" t="s">
        <v>141</v>
      </c>
      <c r="K11" s="4" t="n">
        <v>79</v>
      </c>
      <c r="L11" s="4" t="s">
        <v>142</v>
      </c>
      <c r="M11" s="4" t="s">
        <v>143</v>
      </c>
    </row>
    <row r="12" customFormat="false" ht="15" hidden="false" customHeight="false" outlineLevel="0" collapsed="false">
      <c r="A12" s="5" t="s">
        <v>187</v>
      </c>
      <c r="B12" s="5" t="s">
        <v>188</v>
      </c>
      <c r="C12" s="5" t="s">
        <v>189</v>
      </c>
      <c r="D12" s="5" t="s">
        <v>190</v>
      </c>
      <c r="E12" s="5" t="s">
        <v>139</v>
      </c>
      <c r="F12" s="5" t="n">
        <v>0</v>
      </c>
      <c r="G12" s="5" t="s">
        <v>92</v>
      </c>
      <c r="H12" s="5" t="s">
        <v>140</v>
      </c>
      <c r="I12" s="5" t="s">
        <v>140</v>
      </c>
      <c r="J12" s="5" t="s">
        <v>141</v>
      </c>
      <c r="K12" s="5" t="n">
        <v>58</v>
      </c>
      <c r="L12" s="5" t="s">
        <v>149</v>
      </c>
      <c r="M12" s="5" t="s">
        <v>150</v>
      </c>
    </row>
    <row r="13" customFormat="false" ht="15" hidden="false" customHeight="false" outlineLevel="0" collapsed="false">
      <c r="A13" s="4" t="s">
        <v>191</v>
      </c>
      <c r="B13" s="4" t="s">
        <v>192</v>
      </c>
      <c r="C13" s="4" t="s">
        <v>193</v>
      </c>
      <c r="D13" s="4" t="s">
        <v>194</v>
      </c>
      <c r="E13" s="4" t="s">
        <v>155</v>
      </c>
      <c r="F13" s="4" t="n">
        <v>190000</v>
      </c>
      <c r="G13" s="4" t="s">
        <v>95</v>
      </c>
      <c r="H13" s="4" t="s">
        <v>141</v>
      </c>
      <c r="I13" s="4" t="s">
        <v>140</v>
      </c>
      <c r="J13" s="4" t="s">
        <v>141</v>
      </c>
      <c r="K13" s="4" t="n">
        <v>71</v>
      </c>
      <c r="L13" s="4" t="s">
        <v>142</v>
      </c>
      <c r="M13" s="4" t="s">
        <v>162</v>
      </c>
    </row>
    <row r="14" customFormat="false" ht="15" hidden="false" customHeight="false" outlineLevel="0" collapsed="false">
      <c r="A14" s="5" t="s">
        <v>195</v>
      </c>
      <c r="B14" s="5" t="s">
        <v>196</v>
      </c>
      <c r="C14" s="5" t="s">
        <v>197</v>
      </c>
      <c r="D14" s="5" t="s">
        <v>198</v>
      </c>
      <c r="E14" s="5" t="s">
        <v>167</v>
      </c>
      <c r="F14" s="5" t="n">
        <v>8500</v>
      </c>
      <c r="G14" s="5" t="s">
        <v>99</v>
      </c>
      <c r="H14" s="5" t="s">
        <v>141</v>
      </c>
      <c r="I14" s="5" t="s">
        <v>140</v>
      </c>
      <c r="J14" s="5" t="s">
        <v>141</v>
      </c>
      <c r="K14" s="5" t="n">
        <v>54</v>
      </c>
      <c r="L14" s="5" t="s">
        <v>149</v>
      </c>
      <c r="M14" s="5" t="s">
        <v>143</v>
      </c>
    </row>
    <row r="15" customFormat="false" ht="15" hidden="false" customHeight="false" outlineLevel="0" collapsed="false">
      <c r="A15" s="4" t="s">
        <v>199</v>
      </c>
      <c r="B15" s="4" t="s">
        <v>200</v>
      </c>
      <c r="C15" s="4" t="s">
        <v>201</v>
      </c>
      <c r="D15" s="4" t="s">
        <v>202</v>
      </c>
      <c r="E15" s="4" t="s">
        <v>139</v>
      </c>
      <c r="F15" s="4" t="n">
        <v>410000</v>
      </c>
      <c r="G15" s="4" t="s">
        <v>102</v>
      </c>
      <c r="H15" s="4" t="s">
        <v>140</v>
      </c>
      <c r="I15" s="4" t="s">
        <v>140</v>
      </c>
      <c r="J15" s="4" t="s">
        <v>140</v>
      </c>
      <c r="K15" s="4" t="n">
        <v>89</v>
      </c>
      <c r="L15" s="4" t="s">
        <v>156</v>
      </c>
      <c r="M15" s="4" t="s">
        <v>150</v>
      </c>
    </row>
    <row r="16" customFormat="false" ht="15" hidden="false" customHeight="false" outlineLevel="0" collapsed="false">
      <c r="A16" s="5" t="s">
        <v>203</v>
      </c>
      <c r="B16" s="5" t="s">
        <v>204</v>
      </c>
      <c r="C16" s="5" t="s">
        <v>205</v>
      </c>
      <c r="D16" s="5" t="s">
        <v>206</v>
      </c>
      <c r="E16" s="5" t="s">
        <v>148</v>
      </c>
      <c r="F16" s="5" t="n">
        <v>560000</v>
      </c>
      <c r="G16" s="5" t="s">
        <v>51</v>
      </c>
      <c r="H16" s="5" t="s">
        <v>141</v>
      </c>
      <c r="I16" s="5" t="s">
        <v>141</v>
      </c>
      <c r="J16" s="5" t="s">
        <v>141</v>
      </c>
      <c r="K16" s="5" t="n">
        <v>73</v>
      </c>
      <c r="L16" s="5" t="s">
        <v>142</v>
      </c>
      <c r="M16" s="5" t="s">
        <v>162</v>
      </c>
    </row>
    <row r="17" customFormat="false" ht="15" hidden="false" customHeight="false" outlineLevel="0" collapsed="false">
      <c r="A17" s="4" t="s">
        <v>207</v>
      </c>
      <c r="B17" s="4" t="s">
        <v>208</v>
      </c>
      <c r="C17" s="4" t="s">
        <v>209</v>
      </c>
      <c r="D17" s="4" t="s">
        <v>210</v>
      </c>
      <c r="E17" s="4" t="s">
        <v>155</v>
      </c>
      <c r="F17" s="4" t="n">
        <v>0</v>
      </c>
      <c r="G17" s="4" t="s">
        <v>44</v>
      </c>
      <c r="H17" s="4" t="s">
        <v>140</v>
      </c>
      <c r="I17" s="4" t="s">
        <v>140</v>
      </c>
      <c r="J17" s="4" t="s">
        <v>140</v>
      </c>
      <c r="K17" s="4" t="n">
        <v>96</v>
      </c>
      <c r="L17" s="4" t="s">
        <v>156</v>
      </c>
      <c r="M17" s="4" t="s">
        <v>143</v>
      </c>
    </row>
    <row r="18" customFormat="false" ht="23.85" hidden="false" customHeight="false" outlineLevel="0" collapsed="false">
      <c r="A18" s="5" t="s">
        <v>211</v>
      </c>
      <c r="B18" s="5" t="s">
        <v>212</v>
      </c>
      <c r="C18" s="5" t="s">
        <v>213</v>
      </c>
      <c r="D18" s="5" t="s">
        <v>214</v>
      </c>
      <c r="E18" s="5" t="s">
        <v>161</v>
      </c>
      <c r="F18" s="5" t="n">
        <v>1250000</v>
      </c>
      <c r="G18" s="5" t="s">
        <v>68</v>
      </c>
      <c r="H18" s="5" t="s">
        <v>141</v>
      </c>
      <c r="I18" s="5" t="s">
        <v>141</v>
      </c>
      <c r="J18" s="5" t="s">
        <v>141</v>
      </c>
      <c r="K18" s="5" t="n">
        <v>85</v>
      </c>
      <c r="L18" s="5" t="s">
        <v>142</v>
      </c>
      <c r="M18" s="5" t="s">
        <v>150</v>
      </c>
    </row>
    <row r="19" customFormat="false" ht="15" hidden="false" customHeight="false" outlineLevel="0" collapsed="false">
      <c r="A19" s="4" t="s">
        <v>215</v>
      </c>
      <c r="B19" s="4" t="s">
        <v>216</v>
      </c>
      <c r="C19" s="4" t="s">
        <v>217</v>
      </c>
      <c r="D19" s="4" t="s">
        <v>218</v>
      </c>
      <c r="E19" s="4" t="s">
        <v>139</v>
      </c>
      <c r="F19" s="4" t="n">
        <v>63000</v>
      </c>
      <c r="G19" s="4" t="s">
        <v>56</v>
      </c>
      <c r="H19" s="4" t="s">
        <v>140</v>
      </c>
      <c r="I19" s="4" t="s">
        <v>140</v>
      </c>
      <c r="J19" s="4" t="s">
        <v>141</v>
      </c>
      <c r="K19" s="4" t="n">
        <v>61</v>
      </c>
      <c r="L19" s="4" t="s">
        <v>149</v>
      </c>
      <c r="M19" s="4" t="s">
        <v>162</v>
      </c>
    </row>
    <row r="21" customFormat="false" ht="15" hidden="false" customHeight="false" outlineLevel="0" collapsed="false">
      <c r="A21" s="6" t="s">
        <v>219</v>
      </c>
    </row>
    <row r="22" customFormat="false" ht="15" hidden="false" customHeight="false" outlineLevel="0" collapsed="false">
      <c r="A22" s="8" t="s">
        <v>220</v>
      </c>
      <c r="B22" s="8" t="n">
        <f aca="false">COUNTA(A2:A19)</f>
        <v>18</v>
      </c>
    </row>
    <row r="23" customFormat="false" ht="15" hidden="false" customHeight="false" outlineLevel="0" collapsed="false">
      <c r="A23" s="8" t="s">
        <v>156</v>
      </c>
      <c r="B23" s="8" t="n">
        <f aca="false">COUNTIF(L2:L19,"Escalated - Fraud")</f>
        <v>5</v>
      </c>
    </row>
    <row r="24" customFormat="false" ht="15" hidden="false" customHeight="false" outlineLevel="0" collapsed="false">
      <c r="A24" s="8" t="s">
        <v>142</v>
      </c>
      <c r="B24" s="8" t="n">
        <f aca="false">COUNTIF(L2:L19,"Under Review")</f>
        <v>7</v>
      </c>
    </row>
    <row r="25" customFormat="false" ht="15" hidden="false" customHeight="false" outlineLevel="0" collapsed="false">
      <c r="A25" s="8" t="s">
        <v>149</v>
      </c>
      <c r="B25" s="8" t="n">
        <f aca="false">COUNTIF(L2:L19,"Closed - False Positive")</f>
        <v>6</v>
      </c>
    </row>
    <row r="26" customFormat="false" ht="15" hidden="false" customHeight="false" outlineLevel="0" collapsed="false">
      <c r="A26" s="8" t="s">
        <v>221</v>
      </c>
      <c r="B26" s="8" t="n">
        <f aca="false">ROUND(AVERAGEIF(L2:L19,"Escalated - Fraud",K2:K19),1)</f>
        <v>91.6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45"/>
  </cols>
  <sheetData>
    <row r="1" customFormat="false" ht="39.55" hidden="false" customHeight="false" outlineLevel="0" collapsed="false">
      <c r="A1" s="3" t="s">
        <v>222</v>
      </c>
      <c r="B1" s="3" t="s">
        <v>28</v>
      </c>
      <c r="C1" s="3" t="s">
        <v>119</v>
      </c>
      <c r="D1" s="3" t="s">
        <v>223</v>
      </c>
      <c r="E1" s="3" t="s">
        <v>224</v>
      </c>
      <c r="F1" s="3" t="s">
        <v>225</v>
      </c>
      <c r="G1" s="3" t="s">
        <v>226</v>
      </c>
      <c r="H1" s="3" t="s">
        <v>227</v>
      </c>
      <c r="I1" s="3" t="s">
        <v>228</v>
      </c>
      <c r="J1" s="3" t="s">
        <v>229</v>
      </c>
      <c r="K1" s="3" t="s">
        <v>230</v>
      </c>
      <c r="L1" s="3" t="s">
        <v>231</v>
      </c>
      <c r="M1" s="3" t="s">
        <v>232</v>
      </c>
    </row>
    <row r="2" customFormat="false" ht="23.85" hidden="false" customHeight="false" outlineLevel="0" collapsed="false">
      <c r="A2" s="5" t="s">
        <v>233</v>
      </c>
      <c r="B2" s="5" t="s">
        <v>43</v>
      </c>
      <c r="C2" s="5" t="n">
        <v>2.8</v>
      </c>
      <c r="D2" s="5" t="n">
        <v>1.1</v>
      </c>
      <c r="E2" s="5" t="n">
        <v>4.6</v>
      </c>
      <c r="F2" s="5" t="n">
        <v>3.2</v>
      </c>
      <c r="G2" s="5" t="n">
        <v>2.5</v>
      </c>
      <c r="H2" s="5" t="n">
        <v>18.2</v>
      </c>
      <c r="I2" s="5" t="n">
        <v>42.5</v>
      </c>
      <c r="J2" s="5" t="n">
        <v>68</v>
      </c>
      <c r="K2" s="5" t="n">
        <v>1.6</v>
      </c>
      <c r="L2" s="5" t="n">
        <v>2.5</v>
      </c>
      <c r="M2" s="5" t="s">
        <v>234</v>
      </c>
    </row>
    <row r="3" customFormat="false" ht="15" hidden="false" customHeight="false" outlineLevel="0" collapsed="false">
      <c r="A3" s="4" t="s">
        <v>233</v>
      </c>
      <c r="B3" s="4" t="s">
        <v>50</v>
      </c>
      <c r="C3" s="4" t="n">
        <v>1.9</v>
      </c>
      <c r="D3" s="4" t="n">
        <v>0.7</v>
      </c>
      <c r="E3" s="4" t="n">
        <v>3.1</v>
      </c>
      <c r="F3" s="4" t="n">
        <v>2</v>
      </c>
      <c r="G3" s="4" t="n">
        <v>1.5</v>
      </c>
      <c r="H3" s="4" t="n">
        <v>9.4</v>
      </c>
      <c r="I3" s="4" t="n">
        <v>12.1</v>
      </c>
      <c r="J3" s="4" t="n">
        <v>71</v>
      </c>
      <c r="K3" s="4" t="n">
        <v>1.2</v>
      </c>
      <c r="L3" s="4" t="n">
        <v>2</v>
      </c>
      <c r="M3" s="4" t="s">
        <v>235</v>
      </c>
    </row>
    <row r="4" customFormat="false" ht="15" hidden="false" customHeight="false" outlineLevel="0" collapsed="false">
      <c r="A4" s="5" t="s">
        <v>233</v>
      </c>
      <c r="B4" s="5" t="s">
        <v>55</v>
      </c>
      <c r="C4" s="5" t="n">
        <v>1.2</v>
      </c>
      <c r="D4" s="5" t="n">
        <v>0.4</v>
      </c>
      <c r="E4" s="5" t="n">
        <v>2</v>
      </c>
      <c r="F4" s="5" t="n">
        <v>1.3</v>
      </c>
      <c r="G4" s="5" t="n">
        <v>0.9</v>
      </c>
      <c r="H4" s="5" t="n">
        <v>4.1</v>
      </c>
      <c r="I4" s="5" t="n">
        <v>8.6</v>
      </c>
      <c r="J4" s="5" t="n">
        <v>74</v>
      </c>
      <c r="K4" s="5" t="n">
        <v>0.6</v>
      </c>
      <c r="L4" s="5" t="n">
        <v>1.5</v>
      </c>
      <c r="M4" s="5" t="s">
        <v>236</v>
      </c>
    </row>
    <row r="5" customFormat="false" ht="23.85" hidden="false" customHeight="false" outlineLevel="0" collapsed="false">
      <c r="A5" s="4" t="s">
        <v>233</v>
      </c>
      <c r="B5" s="4" t="s">
        <v>61</v>
      </c>
      <c r="C5" s="4" t="n">
        <v>2.1</v>
      </c>
      <c r="D5" s="4" t="n">
        <v>0.9</v>
      </c>
      <c r="E5" s="4" t="n">
        <v>3.8</v>
      </c>
      <c r="F5" s="4" t="n">
        <v>2.6</v>
      </c>
      <c r="G5" s="4" t="n">
        <v>1.8</v>
      </c>
      <c r="H5" s="4" t="n">
        <v>6</v>
      </c>
      <c r="I5" s="4" t="n">
        <v>5.2</v>
      </c>
      <c r="J5" s="4" t="n">
        <v>66</v>
      </c>
      <c r="K5" s="4" t="n">
        <v>1.4</v>
      </c>
      <c r="L5" s="4" t="n">
        <v>2.2</v>
      </c>
      <c r="M5" s="4" t="s">
        <v>237</v>
      </c>
    </row>
    <row r="6" customFormat="false" ht="23.85" hidden="false" customHeight="false" outlineLevel="0" collapsed="false">
      <c r="A6" s="5" t="s">
        <v>238</v>
      </c>
      <c r="B6" s="5" t="s">
        <v>43</v>
      </c>
      <c r="C6" s="5" t="n">
        <v>3.1</v>
      </c>
      <c r="D6" s="5" t="n">
        <v>1.3</v>
      </c>
      <c r="E6" s="5" t="n">
        <v>5</v>
      </c>
      <c r="F6" s="5" t="n">
        <v>3.6</v>
      </c>
      <c r="G6" s="5" t="n">
        <v>2.9</v>
      </c>
      <c r="H6" s="5" t="n">
        <v>21.5</v>
      </c>
      <c r="I6" s="5" t="n">
        <v>46.8</v>
      </c>
      <c r="J6" s="5" t="n">
        <v>67</v>
      </c>
      <c r="K6" s="5" t="n">
        <v>1.8</v>
      </c>
      <c r="L6" s="5" t="n">
        <v>2.5</v>
      </c>
      <c r="M6" s="5" t="s">
        <v>239</v>
      </c>
    </row>
    <row r="7" customFormat="false" ht="15" hidden="false" customHeight="false" outlineLevel="0" collapsed="false">
      <c r="A7" s="4" t="s">
        <v>238</v>
      </c>
      <c r="B7" s="4" t="s">
        <v>50</v>
      </c>
      <c r="C7" s="4" t="n">
        <v>2</v>
      </c>
      <c r="D7" s="4" t="n">
        <v>0.7</v>
      </c>
      <c r="E7" s="4" t="n">
        <v>3.3</v>
      </c>
      <c r="F7" s="4" t="n">
        <v>2.1</v>
      </c>
      <c r="G7" s="4" t="n">
        <v>1.6</v>
      </c>
      <c r="H7" s="4" t="n">
        <v>10.1</v>
      </c>
      <c r="I7" s="4" t="n">
        <v>12.9</v>
      </c>
      <c r="J7" s="4" t="n">
        <v>72</v>
      </c>
      <c r="K7" s="4" t="n">
        <v>1.2</v>
      </c>
      <c r="L7" s="4" t="n">
        <v>2</v>
      </c>
      <c r="M7" s="4" t="s">
        <v>240</v>
      </c>
    </row>
    <row r="8" customFormat="false" ht="15" hidden="false" customHeight="false" outlineLevel="0" collapsed="false">
      <c r="A8" s="5" t="s">
        <v>238</v>
      </c>
      <c r="B8" s="5" t="s">
        <v>55</v>
      </c>
      <c r="C8" s="5" t="n">
        <v>1.2</v>
      </c>
      <c r="D8" s="5" t="n">
        <v>0.4</v>
      </c>
      <c r="E8" s="5" t="n">
        <v>2.1</v>
      </c>
      <c r="F8" s="5" t="n">
        <v>1.3</v>
      </c>
      <c r="G8" s="5" t="n">
        <v>0.9</v>
      </c>
      <c r="H8" s="5" t="n">
        <v>4.4</v>
      </c>
      <c r="I8" s="5" t="n">
        <v>8.9</v>
      </c>
      <c r="J8" s="5" t="n">
        <v>74</v>
      </c>
      <c r="K8" s="5" t="n">
        <v>0.6</v>
      </c>
      <c r="L8" s="5" t="n">
        <v>1.5</v>
      </c>
      <c r="M8" s="5" t="s">
        <v>241</v>
      </c>
    </row>
    <row r="9" customFormat="false" ht="23.85" hidden="false" customHeight="false" outlineLevel="0" collapsed="false">
      <c r="A9" s="4" t="s">
        <v>238</v>
      </c>
      <c r="B9" s="4" t="s">
        <v>61</v>
      </c>
      <c r="C9" s="4" t="n">
        <v>2.3</v>
      </c>
      <c r="D9" s="4" t="n">
        <v>1</v>
      </c>
      <c r="E9" s="4" t="n">
        <v>4</v>
      </c>
      <c r="F9" s="4" t="n">
        <v>2.8</v>
      </c>
      <c r="G9" s="4" t="n">
        <v>2</v>
      </c>
      <c r="H9" s="4" t="n">
        <v>6.8</v>
      </c>
      <c r="I9" s="4" t="n">
        <v>5.6</v>
      </c>
      <c r="J9" s="4" t="n">
        <v>65</v>
      </c>
      <c r="K9" s="4" t="n">
        <v>1.5</v>
      </c>
      <c r="L9" s="4" t="n">
        <v>2.2</v>
      </c>
      <c r="M9" s="4" t="s">
        <v>242</v>
      </c>
    </row>
    <row r="10" customFormat="false" ht="23.85" hidden="false" customHeight="false" outlineLevel="0" collapsed="false">
      <c r="A10" s="5" t="s">
        <v>243</v>
      </c>
      <c r="B10" s="5" t="s">
        <v>43</v>
      </c>
      <c r="C10" s="5" t="n">
        <v>3.4</v>
      </c>
      <c r="D10" s="5" t="n">
        <v>1.5</v>
      </c>
      <c r="E10" s="5" t="n">
        <v>5.4</v>
      </c>
      <c r="F10" s="5" t="n">
        <v>4</v>
      </c>
      <c r="G10" s="5" t="n">
        <v>3.2</v>
      </c>
      <c r="H10" s="5" t="n">
        <v>24</v>
      </c>
      <c r="I10" s="5" t="n">
        <v>49.2</v>
      </c>
      <c r="J10" s="5" t="n">
        <v>66</v>
      </c>
      <c r="K10" s="5" t="n">
        <v>2</v>
      </c>
      <c r="L10" s="5" t="n">
        <v>2.5</v>
      </c>
      <c r="M10" s="5" t="s">
        <v>244</v>
      </c>
    </row>
    <row r="11" customFormat="false" ht="23.85" hidden="false" customHeight="false" outlineLevel="0" collapsed="false">
      <c r="A11" s="4" t="s">
        <v>243</v>
      </c>
      <c r="B11" s="4" t="s">
        <v>50</v>
      </c>
      <c r="C11" s="4" t="n">
        <v>2.1</v>
      </c>
      <c r="D11" s="4" t="n">
        <v>0.8</v>
      </c>
      <c r="E11" s="4" t="n">
        <v>3.4</v>
      </c>
      <c r="F11" s="4" t="n">
        <v>2.2</v>
      </c>
      <c r="G11" s="4" t="n">
        <v>1.7</v>
      </c>
      <c r="H11" s="4" t="n">
        <v>10.8</v>
      </c>
      <c r="I11" s="4" t="n">
        <v>13.4</v>
      </c>
      <c r="J11" s="4" t="n">
        <v>72</v>
      </c>
      <c r="K11" s="4" t="n">
        <v>1.3</v>
      </c>
      <c r="L11" s="4" t="n">
        <v>2</v>
      </c>
      <c r="M11" s="4" t="s">
        <v>245</v>
      </c>
    </row>
    <row r="12" customFormat="false" ht="15" hidden="false" customHeight="false" outlineLevel="0" collapsed="false">
      <c r="A12" s="5" t="s">
        <v>243</v>
      </c>
      <c r="B12" s="5" t="s">
        <v>55</v>
      </c>
      <c r="C12" s="5" t="n">
        <v>1.3</v>
      </c>
      <c r="D12" s="5" t="n">
        <v>0.4</v>
      </c>
      <c r="E12" s="5" t="n">
        <v>2.2</v>
      </c>
      <c r="F12" s="5" t="n">
        <v>1.4</v>
      </c>
      <c r="G12" s="5" t="n">
        <v>1</v>
      </c>
      <c r="H12" s="5" t="n">
        <v>4.6</v>
      </c>
      <c r="I12" s="5" t="n">
        <v>9.1</v>
      </c>
      <c r="J12" s="5" t="n">
        <v>73</v>
      </c>
      <c r="K12" s="5" t="n">
        <v>0.6</v>
      </c>
      <c r="L12" s="5" t="n">
        <v>1.5</v>
      </c>
      <c r="M12" s="5" t="s">
        <v>246</v>
      </c>
    </row>
    <row r="13" customFormat="false" ht="23.85" hidden="false" customHeight="false" outlineLevel="0" collapsed="false">
      <c r="A13" s="4" t="s">
        <v>243</v>
      </c>
      <c r="B13" s="4" t="s">
        <v>61</v>
      </c>
      <c r="C13" s="4" t="n">
        <v>2.4</v>
      </c>
      <c r="D13" s="4" t="n">
        <v>1</v>
      </c>
      <c r="E13" s="4" t="n">
        <v>4.2</v>
      </c>
      <c r="F13" s="4" t="n">
        <v>3</v>
      </c>
      <c r="G13" s="4" t="n">
        <v>2.1</v>
      </c>
      <c r="H13" s="4" t="n">
        <v>7.1</v>
      </c>
      <c r="I13" s="4" t="n">
        <v>5.8</v>
      </c>
      <c r="J13" s="4" t="n">
        <v>64</v>
      </c>
      <c r="K13" s="4" t="n">
        <v>1.6</v>
      </c>
      <c r="L13" s="4" t="n">
        <v>2.2</v>
      </c>
      <c r="M13" s="4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6" min="5" style="0" width="15"/>
    <col collapsed="false" customWidth="true" hidden="false" outlineLevel="0" max="7" min="7" style="0" width="55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3" t="s">
        <v>248</v>
      </c>
      <c r="B1" s="3" t="s">
        <v>249</v>
      </c>
      <c r="C1" s="3" t="s">
        <v>250</v>
      </c>
      <c r="D1" s="3" t="s">
        <v>251</v>
      </c>
      <c r="E1" s="3" t="s">
        <v>252</v>
      </c>
      <c r="F1" s="3" t="s">
        <v>253</v>
      </c>
      <c r="G1" s="3" t="s">
        <v>254</v>
      </c>
      <c r="H1" s="3" t="s">
        <v>255</v>
      </c>
      <c r="I1" s="3" t="s">
        <v>256</v>
      </c>
      <c r="J1" s="3" t="s">
        <v>257</v>
      </c>
    </row>
    <row r="2" customFormat="false" ht="23.85" hidden="false" customHeight="false" outlineLevel="0" collapsed="false">
      <c r="A2" s="5" t="s">
        <v>258</v>
      </c>
      <c r="B2" s="5" t="s">
        <v>259</v>
      </c>
      <c r="C2" s="5" t="s">
        <v>260</v>
      </c>
      <c r="D2" s="5" t="s">
        <v>261</v>
      </c>
      <c r="E2" s="5" t="s">
        <v>262</v>
      </c>
      <c r="F2" s="5" t="s">
        <v>263</v>
      </c>
      <c r="G2" s="5" t="s">
        <v>264</v>
      </c>
      <c r="H2" s="5" t="s">
        <v>265</v>
      </c>
      <c r="I2" s="5" t="s">
        <v>266</v>
      </c>
      <c r="J2" s="5" t="s">
        <v>267</v>
      </c>
    </row>
    <row r="3" customFormat="false" ht="23.85" hidden="false" customHeight="false" outlineLevel="0" collapsed="false">
      <c r="A3" s="4" t="s">
        <v>268</v>
      </c>
      <c r="B3" s="4" t="s">
        <v>269</v>
      </c>
      <c r="C3" s="4" t="s">
        <v>270</v>
      </c>
      <c r="D3" s="4" t="s">
        <v>271</v>
      </c>
      <c r="E3" s="4" t="s">
        <v>272</v>
      </c>
      <c r="F3" s="4" t="s">
        <v>273</v>
      </c>
      <c r="G3" s="4" t="s">
        <v>274</v>
      </c>
      <c r="H3" s="4" t="s">
        <v>275</v>
      </c>
      <c r="I3" s="4" t="s">
        <v>266</v>
      </c>
      <c r="J3" s="4" t="s">
        <v>267</v>
      </c>
    </row>
    <row r="4" customFormat="false" ht="23.85" hidden="false" customHeight="false" outlineLevel="0" collapsed="false">
      <c r="A4" s="5" t="s">
        <v>276</v>
      </c>
      <c r="B4" s="5" t="s">
        <v>277</v>
      </c>
      <c r="C4" s="5" t="s">
        <v>260</v>
      </c>
      <c r="D4" s="5" t="s">
        <v>278</v>
      </c>
      <c r="E4" s="5" t="s">
        <v>279</v>
      </c>
      <c r="F4" s="5" t="s">
        <v>280</v>
      </c>
      <c r="G4" s="5" t="s">
        <v>281</v>
      </c>
      <c r="H4" s="5" t="s">
        <v>282</v>
      </c>
      <c r="I4" s="5" t="s">
        <v>283</v>
      </c>
      <c r="J4" s="5" t="s">
        <v>284</v>
      </c>
    </row>
    <row r="5" customFormat="false" ht="23.85" hidden="false" customHeight="false" outlineLevel="0" collapsed="false">
      <c r="A5" s="4" t="s">
        <v>285</v>
      </c>
      <c r="B5" s="4" t="s">
        <v>286</v>
      </c>
      <c r="C5" s="4" t="s">
        <v>287</v>
      </c>
      <c r="D5" s="4" t="s">
        <v>288</v>
      </c>
      <c r="E5" s="4" t="s">
        <v>289</v>
      </c>
      <c r="F5" s="4" t="s">
        <v>290</v>
      </c>
      <c r="G5" s="4" t="s">
        <v>291</v>
      </c>
      <c r="H5" s="4" t="s">
        <v>292</v>
      </c>
      <c r="I5" s="4" t="s">
        <v>293</v>
      </c>
      <c r="J5" s="4" t="s">
        <v>284</v>
      </c>
    </row>
    <row r="6" customFormat="false" ht="23.85" hidden="false" customHeight="false" outlineLevel="0" collapsed="false">
      <c r="A6" s="5" t="s">
        <v>294</v>
      </c>
      <c r="B6" s="5" t="s">
        <v>295</v>
      </c>
      <c r="C6" s="5" t="s">
        <v>260</v>
      </c>
      <c r="D6" s="5" t="s">
        <v>296</v>
      </c>
      <c r="E6" s="5" t="s">
        <v>297</v>
      </c>
      <c r="F6" s="5" t="s">
        <v>298</v>
      </c>
      <c r="G6" s="5" t="s">
        <v>299</v>
      </c>
      <c r="H6" s="5" t="s">
        <v>265</v>
      </c>
      <c r="I6" s="5" t="s">
        <v>266</v>
      </c>
      <c r="J6" s="5" t="s">
        <v>267</v>
      </c>
    </row>
    <row r="7" customFormat="false" ht="23.85" hidden="false" customHeight="false" outlineLevel="0" collapsed="false">
      <c r="A7" s="4" t="s">
        <v>300</v>
      </c>
      <c r="B7" s="4" t="s">
        <v>301</v>
      </c>
      <c r="C7" s="4" t="s">
        <v>302</v>
      </c>
      <c r="D7" s="4" t="s">
        <v>303</v>
      </c>
      <c r="E7" s="4" t="s">
        <v>304</v>
      </c>
      <c r="F7" s="4" t="s">
        <v>305</v>
      </c>
      <c r="G7" s="4" t="s">
        <v>306</v>
      </c>
      <c r="H7" s="4" t="s">
        <v>307</v>
      </c>
      <c r="I7" s="4" t="s">
        <v>283</v>
      </c>
      <c r="J7" s="4" t="s">
        <v>308</v>
      </c>
    </row>
    <row r="8" customFormat="false" ht="23.85" hidden="false" customHeight="false" outlineLevel="0" collapsed="false">
      <c r="A8" s="5" t="s">
        <v>309</v>
      </c>
      <c r="B8" s="5" t="s">
        <v>310</v>
      </c>
      <c r="C8" s="5" t="s">
        <v>311</v>
      </c>
      <c r="D8" s="5" t="s">
        <v>312</v>
      </c>
      <c r="E8" s="5" t="s">
        <v>313</v>
      </c>
      <c r="F8" s="5" t="s">
        <v>314</v>
      </c>
      <c r="G8" s="5" t="s">
        <v>315</v>
      </c>
      <c r="H8" s="5" t="s">
        <v>282</v>
      </c>
      <c r="I8" s="5" t="s">
        <v>266</v>
      </c>
      <c r="J8" s="5" t="s">
        <v>267</v>
      </c>
    </row>
    <row r="9" customFormat="false" ht="23.85" hidden="false" customHeight="false" outlineLevel="0" collapsed="false">
      <c r="A9" s="4" t="s">
        <v>316</v>
      </c>
      <c r="B9" s="4" t="s">
        <v>317</v>
      </c>
      <c r="C9" s="4" t="s">
        <v>318</v>
      </c>
      <c r="D9" s="4" t="s">
        <v>319</v>
      </c>
      <c r="E9" s="4" t="s">
        <v>320</v>
      </c>
      <c r="F9" s="4" t="s">
        <v>321</v>
      </c>
      <c r="G9" s="4" t="s">
        <v>322</v>
      </c>
      <c r="H9" s="4" t="s">
        <v>323</v>
      </c>
      <c r="I9" s="4" t="s">
        <v>293</v>
      </c>
      <c r="J9" s="4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55"/>
  </cols>
  <sheetData>
    <row r="1" customFormat="false" ht="26.85" hidden="false" customHeight="false" outlineLevel="0" collapsed="false">
      <c r="A1" s="3" t="s">
        <v>222</v>
      </c>
      <c r="B1" s="3" t="s">
        <v>28</v>
      </c>
      <c r="C1" s="3" t="s">
        <v>324</v>
      </c>
      <c r="D1" s="3" t="s">
        <v>325</v>
      </c>
      <c r="E1" s="3" t="s">
        <v>326</v>
      </c>
      <c r="F1" s="3" t="s">
        <v>327</v>
      </c>
      <c r="G1" s="3" t="s">
        <v>328</v>
      </c>
      <c r="H1" s="3" t="s">
        <v>329</v>
      </c>
    </row>
    <row r="2" customFormat="false" ht="15" hidden="false" customHeight="false" outlineLevel="0" collapsed="false">
      <c r="A2" s="5" t="s">
        <v>233</v>
      </c>
      <c r="B2" s="5" t="s">
        <v>43</v>
      </c>
      <c r="C2" s="5" t="n">
        <v>1420</v>
      </c>
      <c r="D2" s="5" t="n">
        <v>68</v>
      </c>
      <c r="E2" s="5" t="n">
        <v>96.2</v>
      </c>
      <c r="F2" s="5" t="n">
        <v>5.4</v>
      </c>
      <c r="G2" s="5" t="n">
        <v>6</v>
      </c>
      <c r="H2" s="5" t="s">
        <v>330</v>
      </c>
    </row>
    <row r="3" customFormat="false" ht="15" hidden="false" customHeight="false" outlineLevel="0" collapsed="false">
      <c r="A3" s="4" t="s">
        <v>233</v>
      </c>
      <c r="B3" s="4" t="s">
        <v>50</v>
      </c>
      <c r="C3" s="4" t="n">
        <v>2680</v>
      </c>
      <c r="D3" s="4" t="n">
        <v>145</v>
      </c>
      <c r="E3" s="4" t="n">
        <v>97.8</v>
      </c>
      <c r="F3" s="4" t="n">
        <v>3.6</v>
      </c>
      <c r="G3" s="4" t="n">
        <v>3</v>
      </c>
      <c r="H3" s="4" t="s">
        <v>331</v>
      </c>
    </row>
    <row r="4" customFormat="false" ht="15" hidden="false" customHeight="false" outlineLevel="0" collapsed="false">
      <c r="A4" s="5" t="s">
        <v>233</v>
      </c>
      <c r="B4" s="5" t="s">
        <v>55</v>
      </c>
      <c r="C4" s="5" t="n">
        <v>5120</v>
      </c>
      <c r="D4" s="5" t="n">
        <v>210</v>
      </c>
      <c r="E4" s="5" t="n">
        <v>98.9</v>
      </c>
      <c r="F4" s="5" t="n">
        <v>1.9</v>
      </c>
      <c r="G4" s="5" t="n">
        <v>1</v>
      </c>
      <c r="H4" s="5" t="s">
        <v>332</v>
      </c>
    </row>
    <row r="5" customFormat="false" ht="15" hidden="false" customHeight="false" outlineLevel="0" collapsed="false">
      <c r="A5" s="4" t="s">
        <v>233</v>
      </c>
      <c r="B5" s="4" t="s">
        <v>61</v>
      </c>
      <c r="C5" s="4" t="n">
        <v>860</v>
      </c>
      <c r="D5" s="4" t="n">
        <v>52</v>
      </c>
      <c r="E5" s="4" t="n">
        <v>94.1</v>
      </c>
      <c r="F5" s="4" t="n">
        <v>4.9</v>
      </c>
      <c r="G5" s="4" t="n">
        <v>5</v>
      </c>
      <c r="H5" s="4" t="s">
        <v>333</v>
      </c>
    </row>
    <row r="6" customFormat="false" ht="15" hidden="false" customHeight="false" outlineLevel="0" collapsed="false">
      <c r="A6" s="5" t="s">
        <v>238</v>
      </c>
      <c r="B6" s="5" t="s">
        <v>43</v>
      </c>
      <c r="C6" s="5" t="n">
        <v>1465</v>
      </c>
      <c r="D6" s="5" t="n">
        <v>71</v>
      </c>
      <c r="E6" s="5" t="n">
        <v>95.6</v>
      </c>
      <c r="F6" s="5" t="n">
        <v>5.9</v>
      </c>
      <c r="G6" s="5" t="n">
        <v>8</v>
      </c>
      <c r="H6" s="5" t="s">
        <v>334</v>
      </c>
    </row>
    <row r="7" customFormat="false" ht="15" hidden="false" customHeight="false" outlineLevel="0" collapsed="false">
      <c r="A7" s="4" t="s">
        <v>238</v>
      </c>
      <c r="B7" s="4" t="s">
        <v>50</v>
      </c>
      <c r="C7" s="4" t="n">
        <v>2745</v>
      </c>
      <c r="D7" s="4" t="n">
        <v>152</v>
      </c>
      <c r="E7" s="4" t="n">
        <v>97.4</v>
      </c>
      <c r="F7" s="4" t="n">
        <v>3.9</v>
      </c>
      <c r="G7" s="4" t="n">
        <v>4</v>
      </c>
      <c r="H7" s="4" t="s">
        <v>335</v>
      </c>
    </row>
    <row r="8" customFormat="false" ht="15" hidden="false" customHeight="false" outlineLevel="0" collapsed="false">
      <c r="A8" s="5" t="s">
        <v>238</v>
      </c>
      <c r="B8" s="5" t="s">
        <v>55</v>
      </c>
      <c r="C8" s="5" t="n">
        <v>5210</v>
      </c>
      <c r="D8" s="5" t="n">
        <v>225</v>
      </c>
      <c r="E8" s="5" t="n">
        <v>98.7</v>
      </c>
      <c r="F8" s="5" t="n">
        <v>2</v>
      </c>
      <c r="G8" s="5" t="n">
        <v>1</v>
      </c>
      <c r="H8" s="5" t="s">
        <v>332</v>
      </c>
    </row>
    <row r="9" customFormat="false" ht="15" hidden="false" customHeight="false" outlineLevel="0" collapsed="false">
      <c r="A9" s="4" t="s">
        <v>238</v>
      </c>
      <c r="B9" s="4" t="s">
        <v>61</v>
      </c>
      <c r="C9" s="4" t="n">
        <v>878</v>
      </c>
      <c r="D9" s="4" t="n">
        <v>49</v>
      </c>
      <c r="E9" s="4" t="n">
        <v>93</v>
      </c>
      <c r="F9" s="4" t="n">
        <v>5.6</v>
      </c>
      <c r="G9" s="4" t="n">
        <v>7</v>
      </c>
      <c r="H9" s="4" t="s">
        <v>336</v>
      </c>
    </row>
    <row r="10" customFormat="false" ht="15" hidden="false" customHeight="false" outlineLevel="0" collapsed="false">
      <c r="A10" s="5" t="s">
        <v>243</v>
      </c>
      <c r="B10" s="5" t="s">
        <v>43</v>
      </c>
      <c r="C10" s="5" t="n">
        <v>1502</v>
      </c>
      <c r="D10" s="5" t="n">
        <v>74</v>
      </c>
      <c r="E10" s="5" t="n">
        <v>94.8</v>
      </c>
      <c r="F10" s="5" t="n">
        <v>6.4</v>
      </c>
      <c r="G10" s="5" t="n">
        <v>9</v>
      </c>
      <c r="H10" s="5" t="s">
        <v>337</v>
      </c>
    </row>
    <row r="11" customFormat="false" ht="15" hidden="false" customHeight="false" outlineLevel="0" collapsed="false">
      <c r="A11" s="4" t="s">
        <v>243</v>
      </c>
      <c r="B11" s="4" t="s">
        <v>50</v>
      </c>
      <c r="C11" s="4" t="n">
        <v>2810</v>
      </c>
      <c r="D11" s="4" t="n">
        <v>158</v>
      </c>
      <c r="E11" s="4" t="n">
        <v>97.1</v>
      </c>
      <c r="F11" s="4" t="n">
        <v>4.2</v>
      </c>
      <c r="G11" s="4" t="n">
        <v>5</v>
      </c>
      <c r="H11" s="4" t="s">
        <v>338</v>
      </c>
    </row>
    <row r="12" customFormat="false" ht="15" hidden="false" customHeight="false" outlineLevel="0" collapsed="false">
      <c r="A12" s="5" t="s">
        <v>243</v>
      </c>
      <c r="B12" s="5" t="s">
        <v>55</v>
      </c>
      <c r="C12" s="5" t="n">
        <v>5305</v>
      </c>
      <c r="D12" s="5" t="n">
        <v>238</v>
      </c>
      <c r="E12" s="5" t="n">
        <v>98.6</v>
      </c>
      <c r="F12" s="5" t="n">
        <v>2.1</v>
      </c>
      <c r="G12" s="5" t="n">
        <v>2</v>
      </c>
      <c r="H12" s="5" t="s">
        <v>339</v>
      </c>
    </row>
    <row r="13" customFormat="false" ht="15" hidden="false" customHeight="false" outlineLevel="0" collapsed="false">
      <c r="A13" s="4" t="s">
        <v>243</v>
      </c>
      <c r="B13" s="4" t="s">
        <v>61</v>
      </c>
      <c r="C13" s="4" t="n">
        <v>895</v>
      </c>
      <c r="D13" s="4" t="n">
        <v>47</v>
      </c>
      <c r="E13" s="4" t="n">
        <v>91.8</v>
      </c>
      <c r="F13" s="4" t="n">
        <v>6.2</v>
      </c>
      <c r="G13" s="4" t="n">
        <v>9</v>
      </c>
      <c r="H13" s="4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2026-07-29T18:42:41Z</dcterms:created>
  <dc:creator>openpyxl</dc:creator>
  <dc:description/>
  <dc:language>en-US</dc:language>
  <cp:lastModifiedBy/>
  <dcterms:modified xsi:type="dcterms:W3CDTF">2026-07-29T18:42:41Z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